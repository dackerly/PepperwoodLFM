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user/Desktop/github/pepperwood/data/other_studies/"/>
    </mc:Choice>
  </mc:AlternateContent>
  <xr:revisionPtr revIDLastSave="0" documentId="8_{5A61566D-783B-7A42-AC45-6DF383FF7A3D}" xr6:coauthVersionLast="47" xr6:coauthVersionMax="47" xr10:uidLastSave="{00000000-0000-0000-0000-000000000000}"/>
  <bookViews>
    <workbookView xWindow="0" yWindow="760" windowWidth="29880" windowHeight="18220" tabRatio="910" activeTab="2" xr2:uid="{00000000-000D-0000-FFFF-FFFF00000000}"/>
  </bookViews>
  <sheets>
    <sheet name="Contents" sheetId="1" r:id="rId1"/>
    <sheet name="Appendix S1" sheetId="18" r:id="rId2"/>
    <sheet name="Appendix S2" sheetId="9" r:id="rId3"/>
    <sheet name="Appendix S3" sheetId="13" r:id="rId4"/>
    <sheet name="Appendix S4" sheetId="17" r:id="rId5"/>
    <sheet name="Appendix S5" sheetId="15" r:id="rId6"/>
    <sheet name="Appendix S6" sheetId="7" r:id="rId7"/>
    <sheet name="Appendix S7" sheetId="8" r:id="rId8"/>
    <sheet name="Appendix S8" sheetId="16" r:id="rId9"/>
    <sheet name="Appendix S9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455" i="17" l="1"/>
  <c r="AA454" i="17"/>
  <c r="AA453" i="17"/>
  <c r="AA452" i="17"/>
  <c r="AA451" i="17"/>
  <c r="AA450" i="17"/>
  <c r="AA449" i="17"/>
  <c r="AA448" i="17"/>
  <c r="AA447" i="17"/>
  <c r="AA446" i="17"/>
  <c r="AA445" i="17"/>
  <c r="AA444" i="17"/>
  <c r="AA443" i="17"/>
  <c r="AA442" i="17"/>
  <c r="AA441" i="17"/>
  <c r="AA440" i="17"/>
  <c r="AC439" i="17"/>
  <c r="AA439" i="17"/>
  <c r="AC438" i="17"/>
  <c r="AA438" i="17"/>
  <c r="AC437" i="17"/>
  <c r="AA437" i="17"/>
  <c r="AC436" i="17"/>
  <c r="AA436" i="17"/>
  <c r="AC435" i="17"/>
  <c r="AA435" i="17"/>
  <c r="AC434" i="17"/>
  <c r="AA434" i="17"/>
  <c r="AC433" i="17"/>
  <c r="AA433" i="17"/>
  <c r="AC432" i="17"/>
  <c r="AA432" i="17"/>
  <c r="AC431" i="17"/>
  <c r="AA431" i="17"/>
  <c r="AC430" i="17"/>
  <c r="AA430" i="17"/>
  <c r="AC429" i="17"/>
  <c r="AA429" i="17"/>
  <c r="AC428" i="17"/>
  <c r="AA428" i="17"/>
  <c r="AC427" i="17"/>
  <c r="AA427" i="17"/>
  <c r="AC426" i="17"/>
  <c r="AA426" i="17"/>
  <c r="AC425" i="17"/>
  <c r="AA425" i="17"/>
  <c r="AC424" i="17"/>
  <c r="AA424" i="17"/>
  <c r="AC423" i="17"/>
  <c r="AA423" i="17"/>
  <c r="AC422" i="17"/>
  <c r="AA422" i="17"/>
  <c r="AC421" i="17"/>
  <c r="AA421" i="17"/>
  <c r="AC420" i="17"/>
  <c r="AA420" i="17"/>
  <c r="AC419" i="17"/>
  <c r="AA419" i="17"/>
  <c r="AC418" i="17"/>
  <c r="AA418" i="17"/>
  <c r="AC417" i="17"/>
  <c r="AA417" i="17"/>
  <c r="AC416" i="17"/>
  <c r="AA416" i="17"/>
  <c r="AC415" i="17"/>
  <c r="AA415" i="17"/>
  <c r="AC414" i="17"/>
  <c r="AA414" i="17"/>
  <c r="AC413" i="17"/>
  <c r="AA413" i="17"/>
  <c r="AC412" i="17"/>
  <c r="AA412" i="17"/>
  <c r="AC411" i="17"/>
  <c r="AA411" i="17"/>
  <c r="AC410" i="17"/>
  <c r="AA410" i="17"/>
  <c r="AC409" i="17"/>
  <c r="AA409" i="17"/>
  <c r="AC408" i="17"/>
  <c r="AA408" i="17"/>
  <c r="AC407" i="17"/>
  <c r="AA407" i="17"/>
  <c r="AC406" i="17"/>
  <c r="AA406" i="17"/>
  <c r="AC405" i="17"/>
  <c r="AA405" i="17"/>
  <c r="AC404" i="17"/>
  <c r="AA404" i="17"/>
  <c r="AC403" i="17"/>
  <c r="AA403" i="17"/>
  <c r="AC402" i="17"/>
  <c r="AA402" i="17"/>
  <c r="AC401" i="17"/>
  <c r="AA401" i="17"/>
  <c r="AC400" i="17"/>
  <c r="AA400" i="17"/>
  <c r="AC399" i="17"/>
  <c r="AA399" i="17"/>
  <c r="AC398" i="17"/>
  <c r="AA398" i="17"/>
  <c r="AC397" i="17"/>
  <c r="AA397" i="17"/>
  <c r="AC396" i="17"/>
  <c r="AA396" i="17"/>
  <c r="AC395" i="17"/>
  <c r="AA395" i="17"/>
  <c r="AC394" i="17"/>
  <c r="AA394" i="17"/>
  <c r="AC393" i="17"/>
  <c r="AA393" i="17"/>
  <c r="AC392" i="17"/>
  <c r="AA392" i="17"/>
  <c r="AC391" i="17"/>
  <c r="AA391" i="17"/>
  <c r="AC390" i="17"/>
  <c r="AA390" i="17"/>
  <c r="AC389" i="17"/>
  <c r="AA389" i="17"/>
  <c r="AC388" i="17"/>
  <c r="AA388" i="17"/>
  <c r="AC387" i="17"/>
  <c r="AA387" i="17"/>
  <c r="AC386" i="17"/>
  <c r="AA386" i="17"/>
  <c r="AC385" i="17"/>
  <c r="AA385" i="17"/>
  <c r="AC384" i="17"/>
  <c r="AA384" i="17"/>
  <c r="AC383" i="17"/>
  <c r="AA383" i="17"/>
  <c r="AC382" i="17"/>
  <c r="AA382" i="17"/>
  <c r="AC381" i="17"/>
  <c r="AA381" i="17"/>
  <c r="AC380" i="17"/>
  <c r="AA380" i="17"/>
  <c r="AC379" i="17"/>
  <c r="AA379" i="17"/>
  <c r="AC378" i="17"/>
  <c r="AA378" i="17"/>
  <c r="AC377" i="17"/>
  <c r="AA377" i="17"/>
  <c r="AC376" i="17"/>
  <c r="AA376" i="17"/>
  <c r="AC375" i="17"/>
  <c r="AA375" i="17"/>
  <c r="AC374" i="17"/>
  <c r="AA374" i="17"/>
  <c r="AC373" i="17"/>
  <c r="AA373" i="17"/>
  <c r="AC372" i="17"/>
  <c r="AA372" i="17"/>
  <c r="AC371" i="17"/>
  <c r="AA371" i="17"/>
  <c r="AC370" i="17"/>
  <c r="AA370" i="17"/>
  <c r="AC369" i="17"/>
  <c r="AA369" i="17"/>
  <c r="AC368" i="17"/>
  <c r="AA368" i="17"/>
  <c r="AC367" i="17"/>
  <c r="AA367" i="17"/>
  <c r="AC366" i="17"/>
  <c r="AA366" i="17"/>
  <c r="AC365" i="17"/>
  <c r="AA365" i="17"/>
  <c r="AC364" i="17"/>
  <c r="AA364" i="17"/>
  <c r="AC363" i="17"/>
  <c r="AA363" i="17"/>
  <c r="AC362" i="17"/>
  <c r="AA362" i="17"/>
  <c r="AC361" i="17"/>
  <c r="AA361" i="17"/>
  <c r="AC360" i="17"/>
  <c r="AA360" i="17"/>
  <c r="AC359" i="17"/>
  <c r="AA359" i="17"/>
  <c r="AC358" i="17"/>
  <c r="AA358" i="17"/>
  <c r="AC357" i="17"/>
  <c r="AA357" i="17"/>
  <c r="AC356" i="17"/>
  <c r="AA356" i="17"/>
  <c r="AC355" i="17"/>
  <c r="AA355" i="17"/>
  <c r="AC354" i="17"/>
  <c r="AA354" i="17"/>
  <c r="AC353" i="17"/>
  <c r="AA353" i="17"/>
  <c r="AC352" i="17"/>
  <c r="AA352" i="17"/>
  <c r="AC351" i="17"/>
  <c r="AA351" i="17"/>
  <c r="AC350" i="17"/>
  <c r="AA350" i="17"/>
  <c r="AC349" i="17"/>
  <c r="AA349" i="17"/>
  <c r="AC348" i="17"/>
  <c r="AA348" i="17"/>
  <c r="AC347" i="17"/>
  <c r="AA347" i="17"/>
  <c r="AC346" i="17"/>
  <c r="AA346" i="17"/>
  <c r="AC345" i="17"/>
  <c r="AA345" i="17"/>
  <c r="AC344" i="17"/>
  <c r="AA344" i="17"/>
  <c r="AC343" i="17"/>
  <c r="AA343" i="17"/>
  <c r="AC342" i="17"/>
  <c r="AA342" i="17"/>
  <c r="AC341" i="17"/>
  <c r="AA341" i="17"/>
  <c r="AC340" i="17"/>
  <c r="AA340" i="17"/>
  <c r="AC339" i="17"/>
  <c r="AA339" i="17"/>
  <c r="AC338" i="17"/>
  <c r="AA338" i="17"/>
  <c r="AC337" i="17"/>
  <c r="AA337" i="17"/>
  <c r="AC336" i="17"/>
  <c r="AA336" i="17"/>
  <c r="AC335" i="17"/>
  <c r="AA335" i="17"/>
  <c r="AC334" i="17"/>
  <c r="AA334" i="17"/>
  <c r="AC333" i="17"/>
  <c r="AA333" i="17"/>
  <c r="AC332" i="17"/>
  <c r="AA332" i="17"/>
  <c r="AC331" i="17"/>
  <c r="AA331" i="17"/>
  <c r="AC330" i="17"/>
  <c r="AA330" i="17"/>
  <c r="AC329" i="17"/>
  <c r="AA329" i="17"/>
  <c r="AC328" i="17"/>
  <c r="AA328" i="17"/>
  <c r="AC327" i="17"/>
  <c r="AA327" i="17"/>
  <c r="AC326" i="17"/>
  <c r="AA326" i="17"/>
  <c r="AC325" i="17"/>
  <c r="AA325" i="17"/>
  <c r="AC324" i="17"/>
  <c r="AA324" i="17"/>
  <c r="AC323" i="17"/>
  <c r="AA323" i="17"/>
  <c r="AC322" i="17"/>
  <c r="AA322" i="17"/>
  <c r="AC321" i="17"/>
  <c r="AA321" i="17"/>
  <c r="AC320" i="17"/>
  <c r="AA320" i="17"/>
  <c r="AC319" i="17"/>
  <c r="AA319" i="17"/>
  <c r="AC318" i="17"/>
  <c r="AA318" i="17"/>
  <c r="AC317" i="17"/>
  <c r="AA317" i="17"/>
  <c r="AC316" i="17"/>
  <c r="AA316" i="17"/>
  <c r="AC315" i="17"/>
  <c r="AA315" i="17"/>
  <c r="AC314" i="17"/>
  <c r="AA314" i="17"/>
  <c r="AC313" i="17"/>
  <c r="AA313" i="17"/>
  <c r="AC312" i="17"/>
  <c r="AA312" i="17"/>
  <c r="AC311" i="17"/>
  <c r="AA311" i="17"/>
  <c r="AC310" i="17"/>
  <c r="AA310" i="17"/>
  <c r="AC309" i="17"/>
  <c r="AA309" i="17"/>
  <c r="AC308" i="17"/>
  <c r="AA308" i="17"/>
  <c r="AC307" i="17"/>
  <c r="AA307" i="17"/>
  <c r="AC306" i="17"/>
  <c r="AA306" i="17"/>
  <c r="AC305" i="17"/>
  <c r="AA305" i="17"/>
  <c r="AC304" i="17"/>
  <c r="AA304" i="17"/>
  <c r="AC303" i="17"/>
  <c r="AA303" i="17"/>
  <c r="AC302" i="17"/>
  <c r="AA302" i="17"/>
  <c r="AC301" i="17"/>
  <c r="AA301" i="17"/>
  <c r="AC300" i="17"/>
  <c r="AA300" i="17"/>
  <c r="AC299" i="17"/>
  <c r="AA299" i="17"/>
  <c r="AC298" i="17"/>
  <c r="AA298" i="17"/>
  <c r="AC297" i="17"/>
  <c r="AA297" i="17"/>
  <c r="AC296" i="17"/>
  <c r="AA296" i="17"/>
  <c r="AC295" i="17"/>
  <c r="AA295" i="17"/>
  <c r="AC294" i="17"/>
  <c r="AA294" i="17"/>
  <c r="AC293" i="17"/>
  <c r="AA293" i="17"/>
  <c r="AC292" i="17"/>
  <c r="AA292" i="17"/>
  <c r="AC291" i="17"/>
  <c r="AA291" i="17"/>
  <c r="AC290" i="17"/>
  <c r="AA290" i="17"/>
  <c r="AC289" i="17"/>
  <c r="AA289" i="17"/>
  <c r="AC288" i="17"/>
  <c r="AA288" i="17"/>
  <c r="AC287" i="17"/>
  <c r="AA287" i="17"/>
  <c r="AC286" i="17"/>
  <c r="AA286" i="17"/>
  <c r="AC285" i="17"/>
  <c r="AA285" i="17"/>
  <c r="AC284" i="17"/>
  <c r="AA284" i="17"/>
  <c r="AC283" i="17"/>
  <c r="AA283" i="17"/>
  <c r="AC282" i="17"/>
  <c r="AA282" i="17"/>
  <c r="AC281" i="17"/>
  <c r="AA281" i="17"/>
  <c r="AC280" i="17"/>
  <c r="AA280" i="17"/>
  <c r="AC279" i="17"/>
  <c r="AA279" i="17"/>
  <c r="AC278" i="17"/>
  <c r="AA278" i="17"/>
  <c r="AC277" i="17"/>
  <c r="AA277" i="17"/>
  <c r="AC276" i="17"/>
  <c r="AA276" i="17"/>
  <c r="AC275" i="17"/>
  <c r="AA275" i="17"/>
  <c r="AC274" i="17"/>
  <c r="AA274" i="17"/>
  <c r="AC273" i="17"/>
  <c r="AA273" i="17"/>
  <c r="AC272" i="17"/>
  <c r="AA272" i="17"/>
  <c r="AC271" i="17"/>
  <c r="AA271" i="17"/>
  <c r="AC270" i="17"/>
  <c r="AA270" i="17"/>
  <c r="AC269" i="17"/>
  <c r="AA269" i="17"/>
  <c r="AC268" i="17"/>
  <c r="AA268" i="17"/>
  <c r="AC267" i="17"/>
  <c r="AA267" i="17"/>
  <c r="AC266" i="17"/>
  <c r="AA266" i="17"/>
  <c r="AC265" i="17"/>
  <c r="AA265" i="17"/>
  <c r="AC264" i="17"/>
  <c r="AA264" i="17"/>
  <c r="AC263" i="17"/>
  <c r="AA263" i="17"/>
  <c r="AC262" i="17"/>
  <c r="AA262" i="17"/>
  <c r="AC261" i="17"/>
  <c r="AA261" i="17"/>
  <c r="AC260" i="17"/>
  <c r="AA260" i="17"/>
  <c r="AC259" i="17"/>
  <c r="AA259" i="17"/>
  <c r="AC258" i="17"/>
  <c r="AA258" i="17"/>
  <c r="AC257" i="17"/>
  <c r="AA257" i="17"/>
  <c r="AC256" i="17"/>
  <c r="AA256" i="17"/>
  <c r="AC255" i="17"/>
  <c r="AA255" i="17"/>
  <c r="AC254" i="17"/>
  <c r="AA254" i="17"/>
  <c r="AC253" i="17"/>
  <c r="AA253" i="17"/>
  <c r="AC252" i="17"/>
  <c r="AA252" i="17"/>
  <c r="AC251" i="17"/>
  <c r="AA251" i="17"/>
  <c r="AC250" i="17"/>
  <c r="AA250" i="17"/>
  <c r="AC249" i="17"/>
  <c r="AA249" i="17"/>
  <c r="AC248" i="17"/>
  <c r="AA248" i="17"/>
  <c r="AC247" i="17"/>
  <c r="AA247" i="17"/>
  <c r="AC246" i="17"/>
  <c r="AA246" i="17"/>
  <c r="AC245" i="17"/>
  <c r="AA245" i="17"/>
  <c r="AC244" i="17"/>
  <c r="AA244" i="17"/>
  <c r="AC243" i="17"/>
  <c r="AA243" i="17"/>
  <c r="AC242" i="17"/>
  <c r="AA242" i="17"/>
  <c r="AC241" i="17"/>
  <c r="AA241" i="17"/>
  <c r="AC240" i="17"/>
  <c r="AA240" i="17"/>
  <c r="AC239" i="17"/>
  <c r="AA239" i="17"/>
  <c r="AC238" i="17"/>
  <c r="AA238" i="17"/>
  <c r="AC237" i="17"/>
  <c r="AA237" i="17"/>
  <c r="AC236" i="17"/>
  <c r="AA236" i="17"/>
  <c r="AC235" i="17"/>
  <c r="AA235" i="17"/>
  <c r="AC234" i="17"/>
  <c r="AA234" i="17"/>
  <c r="AC233" i="17"/>
  <c r="AA233" i="17"/>
  <c r="AC232" i="17"/>
  <c r="AA232" i="17"/>
  <c r="AC231" i="17"/>
  <c r="AA231" i="17"/>
  <c r="AC230" i="17"/>
  <c r="AA230" i="17"/>
  <c r="AC229" i="17"/>
  <c r="AA229" i="17"/>
  <c r="AC228" i="17"/>
  <c r="AA228" i="17"/>
  <c r="AC227" i="17"/>
  <c r="AA227" i="17"/>
  <c r="AC226" i="17"/>
  <c r="AA226" i="17"/>
  <c r="AC225" i="17"/>
  <c r="AA225" i="17"/>
  <c r="AC224" i="17"/>
  <c r="AA224" i="17"/>
  <c r="AC223" i="17"/>
  <c r="AA223" i="17"/>
  <c r="AC222" i="17"/>
  <c r="AA222" i="17"/>
  <c r="AC221" i="17"/>
  <c r="AA221" i="17"/>
  <c r="AC220" i="17"/>
  <c r="AA220" i="17"/>
  <c r="AC219" i="17"/>
  <c r="AA219" i="17"/>
  <c r="AC218" i="17"/>
  <c r="AA218" i="17"/>
  <c r="AC217" i="17"/>
  <c r="AA217" i="17"/>
  <c r="AC216" i="17"/>
  <c r="AA216" i="17"/>
  <c r="AC215" i="17"/>
  <c r="AA215" i="17"/>
  <c r="AC214" i="17"/>
  <c r="AA214" i="17"/>
  <c r="AC213" i="17"/>
  <c r="AA213" i="17"/>
  <c r="AC212" i="17"/>
  <c r="AA212" i="17"/>
  <c r="AC211" i="17"/>
  <c r="AA211" i="17"/>
  <c r="AC210" i="17"/>
  <c r="AA210" i="17"/>
  <c r="AC209" i="17"/>
  <c r="AA209" i="17"/>
  <c r="AC208" i="17"/>
  <c r="AA208" i="17"/>
  <c r="AC207" i="17"/>
  <c r="AA207" i="17"/>
  <c r="AC206" i="17"/>
  <c r="AA206" i="17"/>
  <c r="AC205" i="17"/>
  <c r="AA205" i="17"/>
  <c r="AC204" i="17"/>
  <c r="AA204" i="17"/>
  <c r="AC203" i="17"/>
  <c r="AA203" i="17"/>
  <c r="AC202" i="17"/>
  <c r="AA202" i="17"/>
  <c r="AC201" i="17"/>
  <c r="AA201" i="17"/>
  <c r="AC200" i="17"/>
  <c r="AA200" i="17"/>
  <c r="AC199" i="17"/>
  <c r="AA199" i="17"/>
  <c r="AC198" i="17"/>
  <c r="AA198" i="17"/>
  <c r="AC197" i="17"/>
  <c r="AA197" i="17"/>
  <c r="AC196" i="17"/>
  <c r="AA196" i="17"/>
  <c r="AC195" i="17"/>
  <c r="AA195" i="17"/>
  <c r="AC194" i="17"/>
  <c r="AA194" i="17"/>
  <c r="AC193" i="17"/>
  <c r="AA193" i="17"/>
  <c r="AC192" i="17"/>
  <c r="AA192" i="17"/>
  <c r="AC191" i="17"/>
  <c r="AA191" i="17"/>
  <c r="AC190" i="17"/>
  <c r="AA190" i="17"/>
  <c r="AC189" i="17"/>
  <c r="AA189" i="17"/>
  <c r="AC188" i="17"/>
  <c r="AA188" i="17"/>
  <c r="AC187" i="17"/>
  <c r="AA187" i="17"/>
  <c r="AC186" i="17"/>
  <c r="AA186" i="17"/>
  <c r="AC185" i="17"/>
  <c r="AA185" i="17"/>
  <c r="AC184" i="17"/>
  <c r="AA184" i="17"/>
  <c r="AC183" i="17"/>
  <c r="AA183" i="17"/>
  <c r="AC182" i="17"/>
  <c r="AA182" i="17"/>
  <c r="AC181" i="17"/>
  <c r="AA181" i="17"/>
  <c r="AC180" i="17"/>
  <c r="AA180" i="17"/>
  <c r="AC179" i="17"/>
  <c r="AA179" i="17"/>
  <c r="AC178" i="17"/>
  <c r="AA178" i="17"/>
  <c r="AC177" i="17"/>
  <c r="AA177" i="17"/>
  <c r="AC176" i="17"/>
  <c r="AA176" i="17"/>
  <c r="AC175" i="17"/>
  <c r="AA175" i="17"/>
  <c r="AC174" i="17"/>
  <c r="AA174" i="17"/>
  <c r="AC173" i="17"/>
  <c r="AA173" i="17"/>
  <c r="AC172" i="17"/>
  <c r="AA172" i="17"/>
  <c r="AC171" i="17"/>
  <c r="AA171" i="17"/>
  <c r="AC170" i="17"/>
  <c r="AA170" i="17"/>
  <c r="AC169" i="17"/>
  <c r="AA169" i="17"/>
  <c r="AC168" i="17"/>
  <c r="AA168" i="17"/>
  <c r="AC167" i="17"/>
  <c r="AA167" i="17"/>
  <c r="AC166" i="17"/>
  <c r="AA166" i="17"/>
  <c r="AC165" i="17"/>
  <c r="AA165" i="17"/>
  <c r="AC164" i="17"/>
  <c r="AA164" i="17"/>
  <c r="AC163" i="17"/>
  <c r="AA163" i="17"/>
  <c r="AC162" i="17"/>
  <c r="AA162" i="17"/>
  <c r="AC161" i="17"/>
  <c r="AA161" i="17"/>
  <c r="AC160" i="17"/>
  <c r="AA160" i="17"/>
  <c r="AC159" i="17"/>
  <c r="AA159" i="17"/>
  <c r="AC158" i="17"/>
  <c r="AA158" i="17"/>
  <c r="AC157" i="17"/>
  <c r="AA157" i="17"/>
  <c r="AC156" i="17"/>
  <c r="AA156" i="17"/>
  <c r="AC155" i="17"/>
  <c r="AA155" i="17"/>
  <c r="AC154" i="17"/>
  <c r="AA154" i="17"/>
  <c r="AC153" i="17"/>
  <c r="AA153" i="17"/>
  <c r="AC152" i="17"/>
  <c r="AA152" i="17"/>
  <c r="AC151" i="17"/>
  <c r="AA151" i="17"/>
  <c r="AC150" i="17"/>
  <c r="AA150" i="17"/>
  <c r="AC149" i="17"/>
  <c r="AA149" i="17"/>
  <c r="AC148" i="17"/>
  <c r="AA148" i="17"/>
  <c r="AC147" i="17"/>
  <c r="AA147" i="17"/>
  <c r="AC146" i="17"/>
  <c r="AA146" i="17"/>
  <c r="AC145" i="17"/>
  <c r="AA145" i="17"/>
  <c r="AC144" i="17"/>
  <c r="AA144" i="17"/>
  <c r="AC143" i="17"/>
  <c r="AA143" i="17"/>
  <c r="AC142" i="17"/>
  <c r="AA142" i="17"/>
  <c r="AC141" i="17"/>
  <c r="AA141" i="17"/>
  <c r="AC140" i="17"/>
  <c r="AA140" i="17"/>
  <c r="AC139" i="17"/>
  <c r="AA139" i="17"/>
  <c r="AC138" i="17"/>
  <c r="AA138" i="17"/>
  <c r="AC137" i="17"/>
  <c r="AA137" i="17"/>
  <c r="AC136" i="17"/>
  <c r="AA136" i="17"/>
  <c r="AC135" i="17"/>
  <c r="AA135" i="17"/>
  <c r="AC134" i="17"/>
  <c r="AA134" i="17"/>
  <c r="AC133" i="17"/>
  <c r="AA133" i="17"/>
  <c r="AC132" i="17"/>
  <c r="AA132" i="17"/>
  <c r="AC131" i="17"/>
  <c r="AA131" i="17"/>
  <c r="AC130" i="17"/>
  <c r="AA130" i="17"/>
  <c r="AC129" i="17"/>
  <c r="AA129" i="17"/>
  <c r="AC128" i="17"/>
  <c r="AA128" i="17"/>
  <c r="AC127" i="17"/>
  <c r="AA127" i="17"/>
  <c r="AC126" i="17"/>
  <c r="AA126" i="17"/>
  <c r="AC125" i="17"/>
  <c r="AA125" i="17"/>
  <c r="AC124" i="17"/>
  <c r="AA124" i="17"/>
  <c r="AC123" i="17"/>
  <c r="AA123" i="17"/>
  <c r="AC122" i="17"/>
  <c r="AA122" i="17"/>
  <c r="AC121" i="17"/>
  <c r="AA121" i="17"/>
  <c r="AC120" i="17"/>
  <c r="AA120" i="17"/>
  <c r="AC119" i="17"/>
  <c r="AA119" i="17"/>
  <c r="AC118" i="17"/>
  <c r="AA118" i="17"/>
  <c r="AC117" i="17"/>
  <c r="AA117" i="17"/>
  <c r="AC116" i="17"/>
  <c r="AA116" i="17"/>
  <c r="AC115" i="17"/>
  <c r="AA115" i="17"/>
  <c r="AC114" i="17"/>
  <c r="AA114" i="17"/>
  <c r="AC113" i="17"/>
  <c r="AA113" i="17"/>
  <c r="AC112" i="17"/>
  <c r="AA112" i="17"/>
  <c r="AC111" i="17"/>
  <c r="AA111" i="17"/>
  <c r="AC110" i="17"/>
  <c r="AA110" i="17"/>
  <c r="AC109" i="17"/>
  <c r="AA109" i="17"/>
  <c r="AC108" i="17"/>
  <c r="AA108" i="17"/>
  <c r="AC107" i="17"/>
  <c r="AA107" i="17"/>
  <c r="AC106" i="17"/>
  <c r="AA106" i="17"/>
  <c r="AC105" i="17"/>
  <c r="AA105" i="17"/>
  <c r="AC104" i="17"/>
  <c r="AA104" i="17"/>
  <c r="AC103" i="17"/>
  <c r="AA103" i="17"/>
  <c r="AC102" i="17"/>
  <c r="AA102" i="17"/>
  <c r="AC101" i="17"/>
  <c r="AA101" i="17"/>
  <c r="AC100" i="17"/>
  <c r="AA100" i="17"/>
  <c r="AC99" i="17"/>
  <c r="AA99" i="17"/>
  <c r="AC98" i="17"/>
  <c r="AA98" i="17"/>
  <c r="AC97" i="17"/>
  <c r="AA97" i="17"/>
  <c r="AC96" i="17"/>
  <c r="AA96" i="17"/>
  <c r="AC95" i="17"/>
  <c r="AA95" i="17"/>
  <c r="AC94" i="17"/>
  <c r="AA94" i="17"/>
  <c r="AC93" i="17"/>
  <c r="AA93" i="17"/>
  <c r="AC92" i="17"/>
  <c r="AA92" i="17"/>
  <c r="AC91" i="17"/>
  <c r="AA91" i="17"/>
  <c r="AC90" i="17"/>
  <c r="AA90" i="17"/>
  <c r="AC89" i="17"/>
  <c r="AA89" i="17"/>
  <c r="AC88" i="17"/>
  <c r="AA88" i="17"/>
  <c r="AC87" i="17"/>
  <c r="AA87" i="17"/>
  <c r="AC86" i="17"/>
  <c r="AA86" i="17"/>
  <c r="AC85" i="17"/>
  <c r="AA85" i="17"/>
  <c r="AC84" i="17"/>
  <c r="AA84" i="17"/>
  <c r="AC83" i="17"/>
  <c r="AA83" i="17"/>
  <c r="AC82" i="17"/>
  <c r="AA82" i="17"/>
  <c r="AC81" i="17"/>
  <c r="AA81" i="17"/>
  <c r="AC80" i="17"/>
  <c r="AA80" i="17"/>
  <c r="AC79" i="17"/>
  <c r="AA79" i="17"/>
  <c r="AC78" i="17"/>
  <c r="AA78" i="17"/>
  <c r="AC77" i="17"/>
  <c r="AA77" i="17"/>
  <c r="AC76" i="17"/>
  <c r="AA76" i="17"/>
  <c r="AC75" i="17"/>
  <c r="AA75" i="17"/>
  <c r="AC74" i="17"/>
  <c r="AA74" i="17"/>
  <c r="AC73" i="17"/>
  <c r="AA73" i="17"/>
  <c r="AC72" i="17"/>
  <c r="AA72" i="17"/>
  <c r="AC71" i="17"/>
  <c r="AA71" i="17"/>
  <c r="AC70" i="17"/>
  <c r="AA70" i="17"/>
  <c r="AC69" i="17"/>
  <c r="AA69" i="17"/>
  <c r="AC68" i="17"/>
  <c r="AA68" i="17"/>
  <c r="AC67" i="17"/>
  <c r="AA67" i="17"/>
  <c r="AC66" i="17"/>
  <c r="AA66" i="17"/>
  <c r="AC65" i="17"/>
  <c r="AA65" i="17"/>
  <c r="AC64" i="17"/>
  <c r="AA64" i="17"/>
  <c r="AC63" i="17"/>
  <c r="AA63" i="17"/>
  <c r="AC62" i="17"/>
  <c r="AA62" i="17"/>
  <c r="AC61" i="17"/>
  <c r="AA61" i="17"/>
  <c r="AC60" i="17"/>
  <c r="AA60" i="17"/>
  <c r="AC59" i="17"/>
  <c r="AA59" i="17"/>
  <c r="AC58" i="17"/>
  <c r="AA58" i="17"/>
  <c r="AC57" i="17"/>
  <c r="AA57" i="17"/>
  <c r="AC56" i="17"/>
  <c r="AA56" i="17"/>
  <c r="AC55" i="17"/>
  <c r="AA55" i="17"/>
  <c r="AC54" i="17"/>
  <c r="AA54" i="17"/>
  <c r="AC53" i="17"/>
  <c r="AA53" i="17"/>
  <c r="AC52" i="17"/>
  <c r="AA52" i="17"/>
  <c r="AC51" i="17"/>
  <c r="AA51" i="17"/>
  <c r="AC50" i="17"/>
  <c r="AA50" i="17"/>
  <c r="AC49" i="17"/>
  <c r="AA49" i="17"/>
  <c r="AC48" i="17"/>
  <c r="AA48" i="17"/>
  <c r="AC47" i="17"/>
  <c r="AA47" i="17"/>
  <c r="AC46" i="17"/>
  <c r="AA46" i="17"/>
  <c r="AC45" i="17"/>
  <c r="AA45" i="17"/>
  <c r="AC44" i="17"/>
  <c r="AA44" i="17"/>
  <c r="AC43" i="17"/>
  <c r="AA43" i="17"/>
  <c r="AC42" i="17"/>
  <c r="AA42" i="17"/>
  <c r="AC41" i="17"/>
  <c r="AA41" i="17"/>
  <c r="AC40" i="17"/>
  <c r="AA40" i="17"/>
  <c r="AC39" i="17"/>
  <c r="AA39" i="17"/>
  <c r="AC38" i="17"/>
  <c r="AA38" i="17"/>
  <c r="AC37" i="17"/>
  <c r="AA37" i="17"/>
  <c r="AC36" i="17"/>
  <c r="AA36" i="17"/>
  <c r="AC35" i="17"/>
  <c r="AA35" i="17"/>
  <c r="AC34" i="17"/>
  <c r="AA34" i="17"/>
  <c r="AC33" i="17"/>
  <c r="AA33" i="17"/>
  <c r="AC32" i="17"/>
  <c r="AA32" i="17"/>
  <c r="AC31" i="17"/>
  <c r="AA31" i="17"/>
  <c r="AC30" i="17"/>
  <c r="AA30" i="17"/>
  <c r="AC29" i="17"/>
  <c r="AA29" i="17"/>
  <c r="AC28" i="17"/>
  <c r="AA28" i="17"/>
  <c r="AC27" i="17"/>
  <c r="AA27" i="17"/>
  <c r="AC26" i="17"/>
  <c r="AA26" i="17"/>
  <c r="AC25" i="17"/>
  <c r="AA25" i="17"/>
  <c r="AC24" i="17"/>
  <c r="AA24" i="17"/>
  <c r="AC23" i="17"/>
  <c r="AA23" i="17"/>
  <c r="AC22" i="17"/>
  <c r="AA22" i="17"/>
  <c r="AC21" i="17"/>
  <c r="AA21" i="17"/>
  <c r="AC20" i="17"/>
  <c r="AA20" i="17"/>
  <c r="AC19" i="17"/>
  <c r="AA19" i="17"/>
  <c r="AC18" i="17"/>
  <c r="AA18" i="17"/>
  <c r="AC17" i="17"/>
  <c r="AA17" i="17"/>
  <c r="AC16" i="17"/>
  <c r="AA16" i="17"/>
  <c r="AC15" i="17"/>
  <c r="AA15" i="17"/>
  <c r="AC14" i="17"/>
  <c r="AA14" i="17"/>
  <c r="AC13" i="17"/>
  <c r="AA13" i="17"/>
  <c r="AC12" i="17"/>
  <c r="AA12" i="17"/>
  <c r="AC11" i="17"/>
  <c r="AA11" i="17"/>
  <c r="AC10" i="17"/>
  <c r="AA10" i="17"/>
  <c r="AC9" i="17"/>
  <c r="AA9" i="17"/>
  <c r="AC8" i="17"/>
  <c r="AA8" i="17"/>
  <c r="AC7" i="17"/>
  <c r="AA7" i="17"/>
  <c r="AC6" i="17"/>
  <c r="AA6" i="17"/>
  <c r="AC5" i="17"/>
  <c r="AA5" i="17"/>
  <c r="AC19" i="16"/>
  <c r="AA19" i="16"/>
  <c r="AC18" i="16"/>
  <c r="AA18" i="16"/>
  <c r="AC17" i="16"/>
  <c r="AA17" i="16"/>
  <c r="AC16" i="16"/>
  <c r="AA16" i="16"/>
  <c r="AC15" i="16"/>
  <c r="AA15" i="16"/>
  <c r="AC14" i="16"/>
  <c r="AA14" i="16"/>
  <c r="AC13" i="16"/>
  <c r="AA13" i="16"/>
  <c r="AC12" i="16"/>
  <c r="AA12" i="16"/>
  <c r="AC11" i="16"/>
  <c r="AA11" i="16"/>
  <c r="AC10" i="16"/>
  <c r="AA10" i="16"/>
  <c r="AC9" i="16"/>
  <c r="AA9" i="16"/>
  <c r="AC8" i="16"/>
  <c r="AA8" i="16"/>
  <c r="AC7" i="16"/>
  <c r="AA7" i="16"/>
  <c r="AC6" i="16"/>
  <c r="AA6" i="16"/>
  <c r="AC5" i="16"/>
  <c r="AA5" i="16"/>
  <c r="AT18" i="9"/>
  <c r="AT29" i="9" s="1"/>
  <c r="N4" i="7"/>
  <c r="N5" i="7"/>
  <c r="M5" i="7"/>
  <c r="M4" i="7"/>
</calcChain>
</file>

<file path=xl/sharedStrings.xml><?xml version="1.0" encoding="utf-8"?>
<sst xmlns="http://schemas.openxmlformats.org/spreadsheetml/2006/main" count="3649" uniqueCount="251">
  <si>
    <t>Species</t>
  </si>
  <si>
    <t>Subgenus</t>
  </si>
  <si>
    <t>LMA</t>
  </si>
  <si>
    <t>LDMC</t>
  </si>
  <si>
    <t>SWC</t>
  </si>
  <si>
    <t>Ceanothus lemmonii</t>
  </si>
  <si>
    <t>Ceanothus</t>
  </si>
  <si>
    <t>Ceanothus verrucosus</t>
  </si>
  <si>
    <t>Cerastes</t>
  </si>
  <si>
    <t>Ceonothus incanus</t>
  </si>
  <si>
    <t>Ceanothus tomentosus</t>
  </si>
  <si>
    <t>Ceanothus impressus</t>
  </si>
  <si>
    <t>Ceanothus cuneatus var. fascicularis</t>
  </si>
  <si>
    <t>Ceanothus megacarpus var. megacarpus</t>
  </si>
  <si>
    <t>Ceanothus oliganthus</t>
  </si>
  <si>
    <t>Ceanothus spinosus</t>
  </si>
  <si>
    <t>Ceanothus ferrisiae</t>
  </si>
  <si>
    <t>stdev</t>
  </si>
  <si>
    <t>stderr</t>
  </si>
  <si>
    <t>Density</t>
  </si>
  <si>
    <t>TLP</t>
  </si>
  <si>
    <t>IVD</t>
  </si>
  <si>
    <t>PalCarea</t>
  </si>
  <si>
    <t>MAT</t>
  </si>
  <si>
    <t>AI</t>
  </si>
  <si>
    <t>PET</t>
  </si>
  <si>
    <t>1***, 1***</t>
  </si>
  <si>
    <t>Table of Contents</t>
  </si>
  <si>
    <t>S1</t>
  </si>
  <si>
    <t>S2</t>
  </si>
  <si>
    <t>S3</t>
  </si>
  <si>
    <t>S4</t>
  </si>
  <si>
    <t>S5</t>
  </si>
  <si>
    <t>S6</t>
  </si>
  <si>
    <t>Ceanothus lemmonii (old)</t>
  </si>
  <si>
    <t xml:space="preserve">Cea.arb </t>
  </si>
  <si>
    <t xml:space="preserve">Cea.cor </t>
  </si>
  <si>
    <t xml:space="preserve">Cea.cya </t>
  </si>
  <si>
    <t xml:space="preserve">Cea.div </t>
  </si>
  <si>
    <t xml:space="preserve">Cea.fol.fol </t>
  </si>
  <si>
    <t xml:space="preserve">Cea.hea </t>
  </si>
  <si>
    <t xml:space="preserve">Cea.imp.imp </t>
  </si>
  <si>
    <t xml:space="preserve">Cea.inc </t>
  </si>
  <si>
    <t xml:space="preserve">Cea.int.int </t>
  </si>
  <si>
    <t xml:space="preserve">Cea.lem </t>
  </si>
  <si>
    <t xml:space="preserve">Cea.leu </t>
  </si>
  <si>
    <t xml:space="preserve">Cea.mar </t>
  </si>
  <si>
    <t xml:space="preserve">Cea.pap.pap </t>
  </si>
  <si>
    <t xml:space="preserve">Cea.spi.spi </t>
  </si>
  <si>
    <t xml:space="preserve">Cea.thy.thy </t>
  </si>
  <si>
    <t xml:space="preserve">Cea.tom.tom </t>
  </si>
  <si>
    <t>Cea.vel.hoo</t>
  </si>
  <si>
    <t>Cea.oli.oli</t>
  </si>
  <si>
    <t>Cea.oli.sor</t>
  </si>
  <si>
    <t xml:space="preserve">Cea.cra.cra </t>
  </si>
  <si>
    <t xml:space="preserve">Cea.cun.cun </t>
  </si>
  <si>
    <t xml:space="preserve">Cea.div.con </t>
  </si>
  <si>
    <t xml:space="preserve">Cea.fer </t>
  </si>
  <si>
    <t xml:space="preserve">Cea.glo.glo </t>
  </si>
  <si>
    <t xml:space="preserve">Cea.mas </t>
  </si>
  <si>
    <t xml:space="preserve">Cea.meg.meg </t>
  </si>
  <si>
    <t xml:space="preserve">Cea.pro </t>
  </si>
  <si>
    <t xml:space="preserve">Cea.pur </t>
  </si>
  <si>
    <t xml:space="preserve">Cea.ver </t>
  </si>
  <si>
    <t>Cea.cun.fas</t>
  </si>
  <si>
    <t>Cea.cun.rig</t>
  </si>
  <si>
    <t>Cea.glo.exa</t>
  </si>
  <si>
    <t>Cea.glo.por</t>
  </si>
  <si>
    <t>Cea.jep.jep</t>
  </si>
  <si>
    <t>Cea.meg.ins</t>
  </si>
  <si>
    <t>S7</t>
  </si>
  <si>
    <t>Raw data for 10 focal species</t>
  </si>
  <si>
    <t>Focal species data compared with eFlora data</t>
  </si>
  <si>
    <t>cm2</t>
  </si>
  <si>
    <t>mm</t>
  </si>
  <si>
    <t>%</t>
  </si>
  <si>
    <t>g g-1</t>
  </si>
  <si>
    <t>g 0.001m-3</t>
  </si>
  <si>
    <t>g m-2</t>
  </si>
  <si>
    <t>Structural Traits</t>
  </si>
  <si>
    <t>Drought tolerance traits</t>
  </si>
  <si>
    <t>Cell and Tissue Cross-Sectional Thicknesses</t>
  </si>
  <si>
    <t>Cross-sectional Cell Areas</t>
  </si>
  <si>
    <t>Cell Wall Thicknesses</t>
  </si>
  <si>
    <t>Leaf mass per area</t>
  </si>
  <si>
    <t>Leaf area</t>
  </si>
  <si>
    <t>Leaf thickness</t>
  </si>
  <si>
    <t>Leaf area shrinkage</t>
  </si>
  <si>
    <t>Leaf dry matter content</t>
  </si>
  <si>
    <t>Saturated water content</t>
  </si>
  <si>
    <t>Thickness shrinkage</t>
  </si>
  <si>
    <t>Petiole area/leaf area</t>
  </si>
  <si>
    <t>Petiole area/dry leaf mass</t>
  </si>
  <si>
    <t>Osmotic potential at turgor loss point</t>
  </si>
  <si>
    <t>Osmotic potential at full turgor</t>
  </si>
  <si>
    <t>Interveinal distance</t>
  </si>
  <si>
    <t>MPa</t>
  </si>
  <si>
    <t>Upper cuticle</t>
  </si>
  <si>
    <t>Upper epidermis</t>
  </si>
  <si>
    <t>Lower epidermis</t>
  </si>
  <si>
    <t>Mesophyll</t>
  </si>
  <si>
    <t>Lower cuticle</t>
  </si>
  <si>
    <t>Palisade mesophyll</t>
  </si>
  <si>
    <t>Spongy mesophyll</t>
  </si>
  <si>
    <t>Potential Evapo-transpiration</t>
  </si>
  <si>
    <t>Aridity index</t>
  </si>
  <si>
    <t>Mean Annual Temperature</t>
  </si>
  <si>
    <t>S8</t>
  </si>
  <si>
    <t>Deciduous? (D/E)</t>
  </si>
  <si>
    <t>E</t>
  </si>
  <si>
    <t>D</t>
  </si>
  <si>
    <t>Ceanothus incanus</t>
  </si>
  <si>
    <t>0.62, 0.61</t>
  </si>
  <si>
    <t>-0.13, -0.09</t>
  </si>
  <si>
    <t>-0.22, -0.19</t>
  </si>
  <si>
    <t>0.47, 0.48</t>
  </si>
  <si>
    <t>-0.03, 0.03</t>
  </si>
  <si>
    <t>-0.84**, -0.9***</t>
  </si>
  <si>
    <t>0.98***, 0.97***</t>
  </si>
  <si>
    <t>-0.76*, -0.78**</t>
  </si>
  <si>
    <t>Trait 1</t>
  </si>
  <si>
    <t>Trait 2</t>
  </si>
  <si>
    <t>Individual means</t>
  </si>
  <si>
    <t>Species means</t>
  </si>
  <si>
    <t>Climate Variables</t>
  </si>
  <si>
    <t>Leaf Area (cm)</t>
  </si>
  <si>
    <t>Aridity Index</t>
  </si>
  <si>
    <t>Mean Annual temperature (degrees C)</t>
  </si>
  <si>
    <t>Our Leaf Area (cm)</t>
  </si>
  <si>
    <t>eFlora Leaf Area (cm)</t>
  </si>
  <si>
    <t>Upper epidermal cell area</t>
  </si>
  <si>
    <t>Palisade mesophyll cell wall thickness</t>
  </si>
  <si>
    <t>Raw data for Ecological Flora (eFlora) database species</t>
  </si>
  <si>
    <t>Fletcher et al. 2018 Data Supplement</t>
  </si>
  <si>
    <t>PC1</t>
  </si>
  <si>
    <t>PC2</t>
  </si>
  <si>
    <t>PC3</t>
  </si>
  <si>
    <t>PC4</t>
  </si>
  <si>
    <t>PC5</t>
  </si>
  <si>
    <t>Leaf thickness shrinkage</t>
  </si>
  <si>
    <t>0.17, 0.18</t>
  </si>
  <si>
    <t>0.03, -0.01</t>
  </si>
  <si>
    <t>-0.35, -0.31</t>
  </si>
  <si>
    <t>-0.36, -0.31</t>
  </si>
  <si>
    <t>0.08, 0.12</t>
  </si>
  <si>
    <t>0.85**, 0.72*</t>
  </si>
  <si>
    <t>-0.66*, -0.61</t>
  </si>
  <si>
    <t>0.88***, 0.77**</t>
  </si>
  <si>
    <t>-0.3, -0.39</t>
  </si>
  <si>
    <t>-0.59, -0.56</t>
  </si>
  <si>
    <t>-0.56, -0.5</t>
  </si>
  <si>
    <t>0.13, 0.24</t>
  </si>
  <si>
    <t>0.41, 0.37</t>
  </si>
  <si>
    <t>0.45, 0.49</t>
  </si>
  <si>
    <t>0.54, 0.57</t>
  </si>
  <si>
    <t>-0.65*, -0.66*</t>
  </si>
  <si>
    <t>0.04, -0.09</t>
  </si>
  <si>
    <t>-0.09, -0.11</t>
  </si>
  <si>
    <t>-0.09, -0.23</t>
  </si>
  <si>
    <t>0.75*, 0.6</t>
  </si>
  <si>
    <t>0, 0.05</t>
  </si>
  <si>
    <t>-0.58, -0.63</t>
  </si>
  <si>
    <t>0.57, 0.58</t>
  </si>
  <si>
    <t>-0.59, -0.63</t>
  </si>
  <si>
    <t>-0.32, -0.33</t>
  </si>
  <si>
    <t>-0.45, -0.42</t>
  </si>
  <si>
    <t>0.24, 0.19</t>
  </si>
  <si>
    <t>-0.48, -0.49</t>
  </si>
  <si>
    <t>Correlation of traits with the first three axes from the phylogenetic principal component analysis (pPCA)</t>
  </si>
  <si>
    <t>Drought tolerance traits and climate</t>
  </si>
  <si>
    <t>Structural traits and climate</t>
  </si>
  <si>
    <t>Anatomical traits and climate</t>
  </si>
  <si>
    <t>Tissue thicknesses</t>
  </si>
  <si>
    <t>Cell wall thicknesses</t>
  </si>
  <si>
    <t>Cell wall areas</t>
  </si>
  <si>
    <t>Brownian</t>
  </si>
  <si>
    <t>OU</t>
  </si>
  <si>
    <t>Y</t>
  </si>
  <si>
    <t>X</t>
  </si>
  <si>
    <t>Slope</t>
  </si>
  <si>
    <t>SE</t>
  </si>
  <si>
    <t>P</t>
  </si>
  <si>
    <t>AIC</t>
  </si>
  <si>
    <t>AICc</t>
  </si>
  <si>
    <t>lambda</t>
  </si>
  <si>
    <t>alpha</t>
  </si>
  <si>
    <t>Best-fit Model</t>
  </si>
  <si>
    <t>Pagel</t>
  </si>
  <si>
    <t>lowest p-value</t>
  </si>
  <si>
    <t>Phylogenetic generalized least squares results and model selection for 10 focal species</t>
  </si>
  <si>
    <t>List of hypotheses for 10 focal species corrected with Benjamini-Hochberg false discovery rate test</t>
  </si>
  <si>
    <t>Phylogenetic generalized least squares results and model selection for eFlora database species</t>
  </si>
  <si>
    <t>List of hypotheses for eFlora database species corrected with Benjamini-Hochberg false discovery rate test</t>
  </si>
  <si>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-value (BH)</t>
    </r>
  </si>
  <si>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-value</t>
    </r>
  </si>
  <si>
    <t>Potential evapo-transpiration</t>
  </si>
  <si>
    <t>Mean annual temperature</t>
  </si>
  <si>
    <t>Leaf Area</t>
  </si>
  <si>
    <t>Upper Cuticle Thickness</t>
  </si>
  <si>
    <t>Upper Epidermal Thickness</t>
  </si>
  <si>
    <t>Lower Epidermal Thickness</t>
  </si>
  <si>
    <t>Mesophyll Thickness</t>
  </si>
  <si>
    <t>Lower Cuticle Thickness</t>
  </si>
  <si>
    <t>Upper Epidermal Cell Area</t>
  </si>
  <si>
    <t>Upper Epidermal Cell Wall Thickness</t>
  </si>
  <si>
    <t>Lower Epidermal Cell Wall Thickness</t>
  </si>
  <si>
    <t>Lower Epidermal Cell Area</t>
  </si>
  <si>
    <t>Spongy Mesophyll Cell Area</t>
  </si>
  <si>
    <t>Spongy Mesophyll Cell Wall Thickness</t>
  </si>
  <si>
    <t>Palisade Mesophyll Cell Area</t>
  </si>
  <si>
    <t>Palisade Mesophyll Cell Wall Thickness</t>
  </si>
  <si>
    <t>Leaf Area Shrinkageage</t>
  </si>
  <si>
    <t>Leaf Thickness Shrinkage</t>
  </si>
  <si>
    <t>Petiole Area divided by Leaf Area</t>
  </si>
  <si>
    <t>Petiole Area divied by Leaf Dry Mass</t>
  </si>
  <si>
    <t>Osmotic Potential at Full Turgor</t>
  </si>
  <si>
    <t>Annual Precipitation</t>
  </si>
  <si>
    <t>Leaf Thickness</t>
  </si>
  <si>
    <t>Petiole Area divided by Leaf Dry Mass</t>
  </si>
  <si>
    <t>Mesopyhll Thickness</t>
  </si>
  <si>
    <t>Annual Annual Precipitationitation</t>
  </si>
  <si>
    <t>Annual Annual Precipitationitation (mm/year)</t>
  </si>
  <si>
    <t>Leaf Mass per Area (g/m^2)</t>
  </si>
  <si>
    <t>eFlora Leaf Mass per Area (g/m^2)</t>
  </si>
  <si>
    <t>Our Leaf Mass per Area (g/m^2)</t>
  </si>
  <si>
    <t>S9</t>
  </si>
  <si>
    <t>DOIs for data collected from the Global Biodiversity Information Facility (GBIF)</t>
  </si>
  <si>
    <t>GBIF.org (4th March 2015) GBIF Occurrence Download http://doi.org/10.15468/dl.1vewp9</t>
  </si>
  <si>
    <t>GBIF.org (4th March 2015) GBIF Occurrence Download http://doi.org/10.15468/dl.vyv37k</t>
  </si>
  <si>
    <t>GBIF.org (4th March 2015) GBIF Occurrence Download http://doi.org/10.15468/dl.zczj1a</t>
  </si>
  <si>
    <t>GBIF.org (4th March 2015) GBIF Occurrence Download http://doi.org/10.15468/dl.efbf3d</t>
  </si>
  <si>
    <t>GBIF.org (4th March 2015) GBIF Occurrence Download http://doi.org/10.15468/dl.5cazu6</t>
  </si>
  <si>
    <t>GBIF.org (4th March 2015) GBIF Occurrence Download http://doi.org/10.15468/dl.2vpoxm</t>
  </si>
  <si>
    <t>GBIF.org (4th March 2015) GBIF Occurrence Download http://doi.org/10.15468/dl.wfr82n</t>
  </si>
  <si>
    <t>GBIF.org (4th March 2015) GBIF Occurrence Download http://doi.org/10.15468/dl.4bnqgs</t>
  </si>
  <si>
    <t>GBIF.org (6th March 2015) GBIF Occurrence Download http://doi.org/10.15468/dl.o3sndl</t>
  </si>
  <si>
    <t>GBIF.org (10th November 2015) GBIF Occurrence Download http://doi.org/10.15468/dl.ha0cmd</t>
  </si>
  <si>
    <t>GBIF.org (10th November 2015) GBIF Occurrence Download http://doi.org/10.15468/dl.zkbluk</t>
  </si>
  <si>
    <r>
      <rPr>
        <b/>
        <sz val="12"/>
        <color theme="1"/>
        <rFont val="Calibri"/>
        <family val="2"/>
        <scheme val="minor"/>
      </rPr>
      <t xml:space="preserve">Appendix S4: </t>
    </r>
    <r>
      <rPr>
        <sz val="12"/>
        <color theme="1"/>
        <rFont val="Calibri"/>
        <family val="2"/>
        <scheme val="minor"/>
      </rPr>
      <t xml:space="preserve">Phylogenetic generalized least squares (PGLS) regression tests of each trait pair for ten focal </t>
    </r>
    <r>
      <rPr>
        <i/>
        <sz val="12"/>
        <color theme="1"/>
        <rFont val="Calibri"/>
        <family val="2"/>
        <scheme val="minor"/>
      </rPr>
      <t xml:space="preserve">Ceanothus </t>
    </r>
    <r>
      <rPr>
        <sz val="12"/>
        <color theme="1"/>
        <rFont val="Calibri"/>
        <family val="2"/>
        <scheme val="minor"/>
      </rPr>
      <t xml:space="preserve">species. Results are reported for three models of evolution: Brownian Motion, Pagel's Lambda, and Ornstein-Uhlenbeck (OU). The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-value from the best-fit model was extracted. Yellow highlights indicate significant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-values.</t>
    </r>
  </si>
  <si>
    <r>
      <t xml:space="preserve">Appendix S5: </t>
    </r>
    <r>
      <rPr>
        <sz val="12"/>
        <color theme="1"/>
        <rFont val="Calibri"/>
        <family val="2"/>
        <scheme val="minor"/>
      </rPr>
      <t xml:space="preserve"> Significance levels for trait-trait and trait-climate correlations after performing a Benjamini-Hochberg (BH) false discovery rate (FDR) analysis. These results include the 10 focal species.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-values prior to the FDR test are shown for the best-fit model from the phylogenetic generalized least squares regression. Yellow highlights indicate significant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-values.</t>
    </r>
  </si>
  <si>
    <r>
      <rPr>
        <b/>
        <sz val="12"/>
        <color theme="1"/>
        <rFont val="Calibri"/>
        <family val="2"/>
        <scheme val="minor"/>
      </rPr>
      <t>Appendix S2</t>
    </r>
    <r>
      <rPr>
        <sz val="12"/>
        <color theme="1"/>
        <rFont val="Calibri"/>
        <family val="2"/>
        <scheme val="minor"/>
      </rPr>
      <t xml:space="preserve">: Individual and species mean values, standard deviations and standard errors for 10 </t>
    </r>
    <r>
      <rPr>
        <i/>
        <sz val="12"/>
        <color theme="1"/>
        <rFont val="Calibri"/>
        <family val="2"/>
        <scheme val="minor"/>
      </rPr>
      <t>Ceanothus</t>
    </r>
    <r>
      <rPr>
        <sz val="12"/>
        <color theme="1"/>
        <rFont val="Calibri"/>
        <family val="2"/>
        <scheme val="minor"/>
      </rPr>
      <t xml:space="preserve"> species. Values are averages of three leaves per individual plant, and three plants per species for 26 traits.</t>
    </r>
  </si>
  <si>
    <r>
      <rPr>
        <b/>
        <sz val="12"/>
        <color theme="1"/>
        <rFont val="Calibri"/>
        <family val="2"/>
        <scheme val="minor"/>
      </rPr>
      <t xml:space="preserve">Appendix S3: </t>
    </r>
    <r>
      <rPr>
        <sz val="12"/>
        <color theme="1"/>
        <rFont val="Calibri"/>
        <family val="2"/>
        <scheme val="minor"/>
      </rPr>
      <t>Correlation of traits with the first three axes from the phylogenetic principial components analysis (pPCA), and of climate with each of the five axes.</t>
    </r>
  </si>
  <si>
    <r>
      <rPr>
        <b/>
        <sz val="12"/>
        <color theme="1"/>
        <rFont val="Calibri"/>
        <family val="2"/>
        <scheme val="minor"/>
      </rPr>
      <t xml:space="preserve">Appendix S6: </t>
    </r>
    <r>
      <rPr>
        <sz val="12"/>
        <color theme="1"/>
        <rFont val="Calibri"/>
        <family val="2"/>
        <scheme val="minor"/>
      </rPr>
      <t xml:space="preserve">Data for species of </t>
    </r>
    <r>
      <rPr>
        <i/>
        <sz val="12"/>
        <color theme="1"/>
        <rFont val="Calibri"/>
        <family val="2"/>
        <scheme val="minor"/>
      </rPr>
      <t>Ceanothus</t>
    </r>
    <r>
      <rPr>
        <sz val="12"/>
        <color theme="1"/>
        <rFont val="Calibri"/>
        <family val="2"/>
        <scheme val="minor"/>
      </rPr>
      <t xml:space="preserve"> obtained from the eFlora database for two traits on 35 species, and four climate variables obtained for each species' range (See Methods). Name codes follow Burge et al. 2011.</t>
    </r>
    <r>
      <rPr>
        <i/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</si>
  <si>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Appendix S7: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Focal </t>
    </r>
    <r>
      <rPr>
        <i/>
        <sz val="12"/>
        <color theme="1"/>
        <rFont val="Calibri"/>
        <family val="2"/>
        <scheme val="minor"/>
      </rPr>
      <t>Ceanothus</t>
    </r>
    <r>
      <rPr>
        <sz val="12"/>
        <color theme="1"/>
        <rFont val="Calibri"/>
        <family val="2"/>
        <scheme val="minor"/>
      </rPr>
      <t xml:space="preserve"> species data compared with data from the Jepson Herbarium eFlora database (http://ucjeps.berkeley.edu/EFT.html).</t>
    </r>
  </si>
  <si>
    <r>
      <rPr>
        <b/>
        <sz val="12"/>
        <color theme="1"/>
        <rFont val="Calibri"/>
        <family val="2"/>
        <scheme val="minor"/>
      </rPr>
      <t>Appendix S8:</t>
    </r>
    <r>
      <rPr>
        <sz val="12"/>
        <color theme="1"/>
        <rFont val="Calibri"/>
        <family val="2"/>
        <scheme val="minor"/>
      </rPr>
      <t xml:space="preserve"> Phylogenetic generalized least squares (PGLS) regression tests of each trait pair for 35 eFlora database species. Results are reported for three models of evolution: Brownian Motion, Pagel's Lambda, and Ornstein-Uhlenbeck (OU). The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-value from the best-fit model was extracted. Yellow highlights indicate significant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-values.</t>
    </r>
  </si>
  <si>
    <r>
      <t xml:space="preserve">Appendix S9: </t>
    </r>
    <r>
      <rPr>
        <sz val="12"/>
        <color theme="1"/>
        <rFont val="Calibri"/>
        <family val="2"/>
        <scheme val="minor"/>
      </rPr>
      <t xml:space="preserve"> Significance levels for trait-trait and trait-climate correlations after performing a Benjamini-Hochberg (BH) false discovery rate (FDR) analysis. These results include the 35 eFlora database species.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-values prior to the FDR test are shown for the best-fit model from the phylogenetic generalized least squares regression. Yellow highlights indicate significant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-values.</t>
    </r>
  </si>
  <si>
    <r>
      <rPr>
        <b/>
        <sz val="12"/>
        <color theme="1"/>
        <rFont val="Calibri"/>
        <family val="2"/>
        <scheme val="minor"/>
      </rPr>
      <t>Appendix S1</t>
    </r>
    <r>
      <rPr>
        <sz val="12"/>
        <color theme="1"/>
        <rFont val="Calibri"/>
        <family val="2"/>
        <scheme val="minor"/>
      </rPr>
      <t xml:space="preserve">: DOIs for individual datasets dowloaded from GBIF. These datasets were edited and/or combined to obtain occurrence data for the ten focal </t>
    </r>
    <r>
      <rPr>
        <i/>
        <sz val="12"/>
        <color theme="1"/>
        <rFont val="Calibri"/>
        <family val="2"/>
        <scheme val="minor"/>
      </rPr>
      <t>Ceanothus</t>
    </r>
    <r>
      <rPr>
        <sz val="12"/>
        <color theme="1"/>
        <rFont val="Calibri"/>
        <family val="2"/>
        <scheme val="minor"/>
      </rPr>
      <t xml:space="preserve"> species used in this study.</t>
    </r>
  </si>
  <si>
    <t>Hypodermis</t>
  </si>
  <si>
    <t>μm2</t>
  </si>
  <si>
    <t>μm</t>
  </si>
  <si>
    <t>Crypt lower epidermis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</si>
</sst>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3">
    <xf numFmtId="0" fontId="0" fillId="0" borderId="0"/>
    <xf numFmtId="0" fontId="8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6" applyNumberFormat="0" applyAlignment="0" applyProtection="0"/>
    <xf numFmtId="0" fontId="22" fillId="10" borderId="7" applyNumberFormat="0" applyAlignment="0" applyProtection="0"/>
    <xf numFmtId="0" fontId="23" fillId="10" borderId="6" applyNumberFormat="0" applyAlignment="0" applyProtection="0"/>
    <xf numFmtId="0" fontId="24" fillId="0" borderId="8" applyNumberFormat="0" applyFill="0" applyAlignment="0" applyProtection="0"/>
    <xf numFmtId="0" fontId="25" fillId="11" borderId="9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9" fillId="36" borderId="0" applyNumberFormat="0" applyBorder="0" applyAlignment="0" applyProtection="0"/>
    <xf numFmtId="0" fontId="1" fillId="0" borderId="0"/>
    <xf numFmtId="0" fontId="1" fillId="12" borderId="10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">
    <xf numFmtId="0" fontId="0" fillId="0" borderId="0" xfId="0"/>
    <xf numFmtId="0" fontId="8" fillId="0" borderId="0" xfId="1"/>
    <xf numFmtId="0" fontId="6" fillId="0" borderId="0" xfId="0" applyFont="1"/>
    <xf numFmtId="164" fontId="0" fillId="0" borderId="0" xfId="0" applyNumberForma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3" fillId="0" borderId="0" xfId="0" applyFont="1"/>
    <xf numFmtId="0" fontId="6" fillId="3" borderId="1" xfId="0" applyFont="1" applyFill="1" applyBorder="1"/>
    <xf numFmtId="0" fontId="7" fillId="3" borderId="1" xfId="0" applyFont="1" applyFill="1" applyBorder="1" applyAlignment="1">
      <alignment wrapText="1"/>
    </xf>
    <xf numFmtId="0" fontId="0" fillId="2" borderId="0" xfId="0" applyFill="1"/>
    <xf numFmtId="0" fontId="11" fillId="2" borderId="1" xfId="1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11" fillId="0" borderId="1" xfId="1" applyFont="1" applyBorder="1" applyAlignment="1">
      <alignment wrapText="1"/>
    </xf>
    <xf numFmtId="0" fontId="2" fillId="0" borderId="0" xfId="1" applyFont="1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164" fontId="9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0" fillId="0" borderId="0" xfId="0" applyFont="1"/>
    <xf numFmtId="11" fontId="0" fillId="0" borderId="0" xfId="0" applyNumberFormat="1"/>
    <xf numFmtId="0" fontId="0" fillId="0" borderId="2" xfId="0" applyBorder="1"/>
    <xf numFmtId="0" fontId="30" fillId="0" borderId="2" xfId="0" applyFont="1" applyBorder="1"/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164" fontId="2" fillId="0" borderId="0" xfId="1" applyNumberFormat="1" applyFont="1"/>
  </cellXfs>
  <cellStyles count="743">
    <cellStyle name="20% - Accent1" xfId="590" builtinId="30" customBuiltin="1"/>
    <cellStyle name="20% - Accent2" xfId="594" builtinId="34" customBuiltin="1"/>
    <cellStyle name="20% - Accent3" xfId="598" builtinId="38" customBuiltin="1"/>
    <cellStyle name="20% - Accent4" xfId="602" builtinId="42" customBuiltin="1"/>
    <cellStyle name="20% - Accent5" xfId="606" builtinId="46" customBuiltin="1"/>
    <cellStyle name="20% - Accent6" xfId="610" builtinId="50" customBuiltin="1"/>
    <cellStyle name="40% - Accent1" xfId="591" builtinId="31" customBuiltin="1"/>
    <cellStyle name="40% - Accent2" xfId="595" builtinId="35" customBuiltin="1"/>
    <cellStyle name="40% - Accent3" xfId="599" builtinId="39" customBuiltin="1"/>
    <cellStyle name="40% - Accent4" xfId="603" builtinId="43" customBuiltin="1"/>
    <cellStyle name="40% - Accent5" xfId="607" builtinId="47" customBuiltin="1"/>
    <cellStyle name="40% - Accent6" xfId="611" builtinId="51" customBuiltin="1"/>
    <cellStyle name="60% - Accent1" xfId="592" builtinId="32" customBuiltin="1"/>
    <cellStyle name="60% - Accent2" xfId="596" builtinId="36" customBuiltin="1"/>
    <cellStyle name="60% - Accent3" xfId="600" builtinId="40" customBuiltin="1"/>
    <cellStyle name="60% - Accent4" xfId="604" builtinId="44" customBuiltin="1"/>
    <cellStyle name="60% - Accent5" xfId="608" builtinId="48" customBuiltin="1"/>
    <cellStyle name="60% - Accent6" xfId="612" builtinId="52" customBuiltin="1"/>
    <cellStyle name="Accent1" xfId="589" builtinId="29" customBuiltin="1"/>
    <cellStyle name="Accent2" xfId="593" builtinId="33" customBuiltin="1"/>
    <cellStyle name="Accent3" xfId="597" builtinId="37" customBuiltin="1"/>
    <cellStyle name="Accent4" xfId="601" builtinId="41" customBuiltin="1"/>
    <cellStyle name="Accent5" xfId="605" builtinId="45" customBuiltin="1"/>
    <cellStyle name="Accent6" xfId="609" builtinId="49" customBuiltin="1"/>
    <cellStyle name="Bad" xfId="579" builtinId="27" customBuiltin="1"/>
    <cellStyle name="Calculation" xfId="583" builtinId="22" customBuiltin="1"/>
    <cellStyle name="Check Cell" xfId="585" builtinId="23" customBuiltin="1"/>
    <cellStyle name="Explanatory Text" xfId="587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7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Good" xfId="578" builtinId="26" customBuiltin="1"/>
    <cellStyle name="Heading 1" xfId="574" builtinId="16" customBuiltin="1"/>
    <cellStyle name="Heading 2" xfId="575" builtinId="17" customBuiltin="1"/>
    <cellStyle name="Heading 3" xfId="576" builtinId="18" customBuiltin="1"/>
    <cellStyle name="Heading 4" xfId="577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Input" xfId="581" builtinId="20" customBuiltin="1"/>
    <cellStyle name="Linked Cell" xfId="584" builtinId="24" customBuiltin="1"/>
    <cellStyle name="Neutral" xfId="580" builtinId="28" customBuiltin="1"/>
    <cellStyle name="Normal" xfId="0" builtinId="0"/>
    <cellStyle name="Normal 2" xfId="1" xr:uid="{00000000-0005-0000-0000-0000DF020000}"/>
    <cellStyle name="Normal 3" xfId="256" xr:uid="{00000000-0005-0000-0000-0000E0020000}"/>
    <cellStyle name="Normal 4" xfId="613" xr:uid="{00000000-0005-0000-0000-0000E1020000}"/>
    <cellStyle name="Note 2" xfId="614" xr:uid="{00000000-0005-0000-0000-0000E2020000}"/>
    <cellStyle name="Output" xfId="582" builtinId="21" customBuiltin="1"/>
    <cellStyle name="Title" xfId="573" builtinId="15" customBuiltin="1"/>
    <cellStyle name="Total" xfId="588" builtinId="25" customBuiltin="1"/>
    <cellStyle name="Warning Text" xfId="586" builtinId="11" customBuiltin="1"/>
  </cellStyles>
  <dxfs count="5"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2" sqref="A2"/>
    </sheetView>
  </sheetViews>
  <sheetFormatPr baseColWidth="10" defaultColWidth="11" defaultRowHeight="16" x14ac:dyDescent="0.2"/>
  <sheetData>
    <row r="1" spans="1:2" x14ac:dyDescent="0.2">
      <c r="A1" s="12" t="s">
        <v>133</v>
      </c>
    </row>
    <row r="3" spans="1:2" x14ac:dyDescent="0.2">
      <c r="A3" s="12" t="s">
        <v>27</v>
      </c>
    </row>
    <row r="4" spans="1:2" x14ac:dyDescent="0.2">
      <c r="A4" t="s">
        <v>28</v>
      </c>
      <c r="B4" t="s">
        <v>226</v>
      </c>
    </row>
    <row r="5" spans="1:2" x14ac:dyDescent="0.2">
      <c r="A5" t="s">
        <v>29</v>
      </c>
      <c r="B5" t="s">
        <v>71</v>
      </c>
    </row>
    <row r="6" spans="1:2" x14ac:dyDescent="0.2">
      <c r="A6" t="s">
        <v>30</v>
      </c>
      <c r="B6" t="s">
        <v>168</v>
      </c>
    </row>
    <row r="7" spans="1:2" x14ac:dyDescent="0.2">
      <c r="A7" t="s">
        <v>31</v>
      </c>
      <c r="B7" t="s">
        <v>189</v>
      </c>
    </row>
    <row r="8" spans="1:2" x14ac:dyDescent="0.2">
      <c r="A8" t="s">
        <v>32</v>
      </c>
      <c r="B8" t="s">
        <v>190</v>
      </c>
    </row>
    <row r="9" spans="1:2" x14ac:dyDescent="0.2">
      <c r="A9" t="s">
        <v>33</v>
      </c>
      <c r="B9" t="s">
        <v>132</v>
      </c>
    </row>
    <row r="10" spans="1:2" x14ac:dyDescent="0.2">
      <c r="A10" t="s">
        <v>70</v>
      </c>
      <c r="B10" t="s">
        <v>72</v>
      </c>
    </row>
    <row r="11" spans="1:2" x14ac:dyDescent="0.2">
      <c r="A11" t="s">
        <v>107</v>
      </c>
      <c r="B11" t="s">
        <v>191</v>
      </c>
    </row>
    <row r="12" spans="1:2" x14ac:dyDescent="0.2">
      <c r="A12" t="s">
        <v>225</v>
      </c>
      <c r="B12" t="s">
        <v>192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selection activeCell="H10" sqref="H10"/>
    </sheetView>
  </sheetViews>
  <sheetFormatPr baseColWidth="10" defaultRowHeight="16" x14ac:dyDescent="0.2"/>
  <sheetData>
    <row r="1" spans="1:1" x14ac:dyDescent="0.2">
      <c r="A1" t="s">
        <v>246</v>
      </c>
    </row>
    <row r="3" spans="1:1" x14ac:dyDescent="0.2">
      <c r="A3" t="s">
        <v>227</v>
      </c>
    </row>
    <row r="4" spans="1:1" x14ac:dyDescent="0.2">
      <c r="A4" t="s">
        <v>228</v>
      </c>
    </row>
    <row r="5" spans="1:1" x14ac:dyDescent="0.2">
      <c r="A5" t="s">
        <v>229</v>
      </c>
    </row>
    <row r="6" spans="1:1" x14ac:dyDescent="0.2">
      <c r="A6" t="s">
        <v>230</v>
      </c>
    </row>
    <row r="7" spans="1:1" x14ac:dyDescent="0.2">
      <c r="A7" t="s">
        <v>231</v>
      </c>
    </row>
    <row r="8" spans="1:1" x14ac:dyDescent="0.2">
      <c r="A8" t="s">
        <v>232</v>
      </c>
    </row>
    <row r="9" spans="1:1" x14ac:dyDescent="0.2">
      <c r="A9" t="s">
        <v>233</v>
      </c>
    </row>
    <row r="10" spans="1:1" x14ac:dyDescent="0.2">
      <c r="A10" t="s">
        <v>234</v>
      </c>
    </row>
    <row r="11" spans="1:1" x14ac:dyDescent="0.2">
      <c r="A11" t="s">
        <v>235</v>
      </c>
    </row>
    <row r="12" spans="1:1" x14ac:dyDescent="0.2">
      <c r="A12" t="s">
        <v>236</v>
      </c>
    </row>
    <row r="13" spans="1:1" x14ac:dyDescent="0.2">
      <c r="A13" t="s">
        <v>237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110"/>
  <sheetViews>
    <sheetView tabSelected="1" topLeftCell="A5" workbookViewId="0">
      <selection activeCell="B31" sqref="B31"/>
    </sheetView>
  </sheetViews>
  <sheetFormatPr baseColWidth="10" defaultColWidth="11" defaultRowHeight="16" x14ac:dyDescent="0.2"/>
  <cols>
    <col min="1" max="1" width="34.1640625" bestFit="1" customWidth="1"/>
    <col min="6" max="11" width="11" style="4"/>
    <col min="12" max="12" width="11" customWidth="1"/>
    <col min="13" max="14" width="11" style="4"/>
    <col min="21" max="21" width="11.5" customWidth="1"/>
    <col min="36" max="36" width="13.1640625" customWidth="1"/>
    <col min="42" max="46" width="11.1640625" bestFit="1" customWidth="1"/>
    <col min="47" max="47" width="11.83203125" bestFit="1" customWidth="1"/>
    <col min="48" max="49" width="11.1640625" bestFit="1" customWidth="1"/>
    <col min="76" max="76" width="34.1640625" bestFit="1" customWidth="1"/>
  </cols>
  <sheetData>
    <row r="1" spans="1:138" x14ac:dyDescent="0.2">
      <c r="A1" t="s">
        <v>240</v>
      </c>
    </row>
    <row r="3" spans="1:138" x14ac:dyDescent="0.2">
      <c r="A3" s="12" t="s">
        <v>122</v>
      </c>
      <c r="AJ3" s="12" t="s">
        <v>123</v>
      </c>
    </row>
    <row r="4" spans="1:138" x14ac:dyDescent="0.2">
      <c r="C4" t="s">
        <v>79</v>
      </c>
      <c r="O4" t="s">
        <v>80</v>
      </c>
      <c r="R4" t="s">
        <v>81</v>
      </c>
      <c r="Y4" t="s">
        <v>82</v>
      </c>
      <c r="AC4" t="s">
        <v>83</v>
      </c>
      <c r="AL4" t="s">
        <v>79</v>
      </c>
      <c r="AO4" s="4"/>
      <c r="AP4" s="4"/>
      <c r="AQ4" s="4"/>
      <c r="AR4" s="4"/>
      <c r="AT4" s="19"/>
      <c r="AU4" s="19"/>
      <c r="AV4" s="4" t="s">
        <v>80</v>
      </c>
      <c r="AW4" s="4"/>
      <c r="AY4" t="s">
        <v>81</v>
      </c>
      <c r="BF4" t="s">
        <v>82</v>
      </c>
      <c r="BJ4" t="s">
        <v>83</v>
      </c>
      <c r="BN4" t="s">
        <v>124</v>
      </c>
    </row>
    <row r="5" spans="1:138" s="11" customFormat="1" ht="64" x14ac:dyDescent="0.2">
      <c r="A5" s="11" t="s">
        <v>0</v>
      </c>
      <c r="B5" s="11" t="s">
        <v>1</v>
      </c>
      <c r="C5" s="11" t="s">
        <v>85</v>
      </c>
      <c r="D5" s="11" t="s">
        <v>84</v>
      </c>
      <c r="E5" s="11" t="s">
        <v>19</v>
      </c>
      <c r="F5" s="11" t="s">
        <v>89</v>
      </c>
      <c r="G5" s="11" t="s">
        <v>88</v>
      </c>
      <c r="H5" s="11" t="s">
        <v>87</v>
      </c>
      <c r="I5" s="11" t="s">
        <v>139</v>
      </c>
      <c r="J5" s="11" t="s">
        <v>86</v>
      </c>
      <c r="K5" s="11" t="s">
        <v>91</v>
      </c>
      <c r="L5" s="11" t="s">
        <v>92</v>
      </c>
      <c r="M5" s="11" t="s">
        <v>93</v>
      </c>
      <c r="N5" s="11" t="s">
        <v>94</v>
      </c>
      <c r="O5" s="11" t="s">
        <v>95</v>
      </c>
      <c r="P5" s="11" t="s">
        <v>97</v>
      </c>
      <c r="Q5" s="11" t="s">
        <v>98</v>
      </c>
      <c r="R5" s="11" t="s">
        <v>100</v>
      </c>
      <c r="S5" s="11" t="s">
        <v>99</v>
      </c>
      <c r="T5" s="11" t="s">
        <v>101</v>
      </c>
      <c r="U5" s="11" t="s">
        <v>250</v>
      </c>
      <c r="V5" s="11" t="s">
        <v>247</v>
      </c>
      <c r="W5" s="11" t="s">
        <v>98</v>
      </c>
      <c r="X5" s="11" t="s">
        <v>102</v>
      </c>
      <c r="Y5" s="11" t="s">
        <v>103</v>
      </c>
      <c r="Z5" s="11" t="s">
        <v>99</v>
      </c>
      <c r="AA5" s="11" t="s">
        <v>98</v>
      </c>
      <c r="AB5" s="11" t="s">
        <v>102</v>
      </c>
      <c r="AC5" s="11" t="s">
        <v>103</v>
      </c>
      <c r="AD5" s="11" t="s">
        <v>99</v>
      </c>
      <c r="AE5"/>
      <c r="AF5"/>
      <c r="AG5"/>
      <c r="AH5" s="11" t="s">
        <v>0</v>
      </c>
      <c r="AI5" s="11" t="s">
        <v>1</v>
      </c>
      <c r="AJ5" s="11" t="s">
        <v>85</v>
      </c>
      <c r="AK5" s="11" t="s">
        <v>84</v>
      </c>
      <c r="AL5" s="11" t="s">
        <v>19</v>
      </c>
      <c r="AM5" s="11" t="s">
        <v>89</v>
      </c>
      <c r="AN5" s="11" t="s">
        <v>88</v>
      </c>
      <c r="AO5" s="11" t="s">
        <v>87</v>
      </c>
      <c r="AP5" s="11" t="s">
        <v>90</v>
      </c>
      <c r="AQ5" s="11" t="s">
        <v>86</v>
      </c>
      <c r="AR5" s="11" t="s">
        <v>91</v>
      </c>
      <c r="AS5" s="11" t="s">
        <v>92</v>
      </c>
      <c r="AT5" s="11" t="s">
        <v>93</v>
      </c>
      <c r="AU5" s="11" t="s">
        <v>94</v>
      </c>
      <c r="AV5" s="11" t="s">
        <v>95</v>
      </c>
      <c r="AW5" s="11" t="s">
        <v>97</v>
      </c>
      <c r="AX5" s="11" t="s">
        <v>98</v>
      </c>
      <c r="AY5" s="11" t="s">
        <v>100</v>
      </c>
      <c r="AZ5" s="11" t="s">
        <v>99</v>
      </c>
      <c r="BA5" s="11" t="s">
        <v>101</v>
      </c>
      <c r="BB5" s="11" t="s">
        <v>250</v>
      </c>
      <c r="BC5" s="11" t="s">
        <v>247</v>
      </c>
      <c r="BD5" s="11" t="s">
        <v>98</v>
      </c>
      <c r="BE5" s="11" t="s">
        <v>102</v>
      </c>
      <c r="BF5" s="11" t="s">
        <v>103</v>
      </c>
      <c r="BG5" s="11" t="s">
        <v>99</v>
      </c>
      <c r="BH5" s="11" t="s">
        <v>98</v>
      </c>
      <c r="BI5" s="11" t="s">
        <v>102</v>
      </c>
      <c r="BJ5" s="11" t="s">
        <v>103</v>
      </c>
      <c r="BK5" s="11" t="s">
        <v>99</v>
      </c>
      <c r="BL5" s="11" t="s">
        <v>104</v>
      </c>
      <c r="BM5" s="11" t="s">
        <v>105</v>
      </c>
      <c r="BN5" s="11" t="s">
        <v>106</v>
      </c>
      <c r="BO5" s="11" t="s">
        <v>220</v>
      </c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</row>
    <row r="6" spans="1:138" s="11" customFormat="1" x14ac:dyDescent="0.2">
      <c r="C6" s="11" t="s">
        <v>73</v>
      </c>
      <c r="D6" s="11" t="s">
        <v>78</v>
      </c>
      <c r="E6" s="11" t="s">
        <v>77</v>
      </c>
      <c r="F6" s="11" t="s">
        <v>76</v>
      </c>
      <c r="G6" s="11" t="s">
        <v>76</v>
      </c>
      <c r="H6" s="11" t="s">
        <v>75</v>
      </c>
      <c r="I6" s="11" t="s">
        <v>75</v>
      </c>
      <c r="J6" s="11" t="s">
        <v>74</v>
      </c>
      <c r="M6" s="11" t="s">
        <v>96</v>
      </c>
      <c r="N6" s="11" t="s">
        <v>96</v>
      </c>
      <c r="O6" s="11" t="s">
        <v>249</v>
      </c>
      <c r="P6" s="11" t="s">
        <v>249</v>
      </c>
      <c r="Q6" s="11" t="s">
        <v>249</v>
      </c>
      <c r="R6" s="11" t="s">
        <v>249</v>
      </c>
      <c r="S6" s="11" t="s">
        <v>249</v>
      </c>
      <c r="T6" s="11" t="s">
        <v>249</v>
      </c>
      <c r="U6" s="11" t="s">
        <v>249</v>
      </c>
      <c r="V6" s="11" t="s">
        <v>249</v>
      </c>
      <c r="W6" s="11" t="s">
        <v>248</v>
      </c>
      <c r="X6" s="11" t="s">
        <v>248</v>
      </c>
      <c r="Y6" s="11" t="s">
        <v>248</v>
      </c>
      <c r="Z6" s="11" t="s">
        <v>248</v>
      </c>
      <c r="AA6" s="11" t="s">
        <v>249</v>
      </c>
      <c r="AB6" s="11" t="s">
        <v>249</v>
      </c>
      <c r="AC6" s="11" t="s">
        <v>249</v>
      </c>
      <c r="AD6" s="11" t="s">
        <v>249</v>
      </c>
      <c r="AE6"/>
      <c r="AF6"/>
      <c r="AG6"/>
      <c r="AJ6" s="11" t="s">
        <v>73</v>
      </c>
      <c r="AK6" s="11" t="s">
        <v>78</v>
      </c>
      <c r="AL6" s="11" t="s">
        <v>77</v>
      </c>
      <c r="AM6" s="11" t="s">
        <v>76</v>
      </c>
      <c r="AN6" s="11" t="s">
        <v>76</v>
      </c>
      <c r="AO6" s="11" t="s">
        <v>75</v>
      </c>
      <c r="AP6" s="11" t="s">
        <v>75</v>
      </c>
      <c r="AQ6" s="11" t="s">
        <v>74</v>
      </c>
      <c r="AT6" s="11" t="s">
        <v>96</v>
      </c>
      <c r="AU6" s="11" t="s">
        <v>96</v>
      </c>
      <c r="AV6" s="11" t="s">
        <v>249</v>
      </c>
      <c r="AW6" s="11" t="s">
        <v>249</v>
      </c>
      <c r="AX6" s="11" t="s">
        <v>249</v>
      </c>
      <c r="AY6" s="11" t="s">
        <v>249</v>
      </c>
      <c r="AZ6" s="11" t="s">
        <v>249</v>
      </c>
      <c r="BA6" s="11" t="s">
        <v>249</v>
      </c>
      <c r="BB6" s="11" t="s">
        <v>249</v>
      </c>
      <c r="BC6" s="11" t="s">
        <v>249</v>
      </c>
      <c r="BD6" s="11" t="s">
        <v>248</v>
      </c>
      <c r="BE6" s="11" t="s">
        <v>248</v>
      </c>
      <c r="BF6" s="11" t="s">
        <v>248</v>
      </c>
      <c r="BG6" s="11" t="s">
        <v>248</v>
      </c>
      <c r="BH6" s="11" t="s">
        <v>249</v>
      </c>
      <c r="BI6" s="11" t="s">
        <v>249</v>
      </c>
      <c r="BJ6" s="11" t="s">
        <v>249</v>
      </c>
      <c r="BK6" s="11" t="s">
        <v>249</v>
      </c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</row>
    <row r="7" spans="1:138" x14ac:dyDescent="0.2">
      <c r="A7" t="s">
        <v>5</v>
      </c>
      <c r="B7" t="s">
        <v>6</v>
      </c>
      <c r="C7" s="2">
        <v>0.25439734066666669</v>
      </c>
      <c r="D7" s="2">
        <v>103.96508108519618</v>
      </c>
      <c r="E7">
        <v>0.32248664032765434</v>
      </c>
      <c r="F7" s="3">
        <v>2.6591825964104063</v>
      </c>
      <c r="G7" s="3">
        <v>0.27331294819452184</v>
      </c>
      <c r="H7">
        <v>35.358379656635172</v>
      </c>
      <c r="I7" s="3">
        <v>28.464090938957881</v>
      </c>
      <c r="J7" s="2">
        <v>0.32444444444444448</v>
      </c>
      <c r="K7" s="3">
        <v>7.2212167901258159E-2</v>
      </c>
      <c r="L7" s="3">
        <v>69.400388726752681</v>
      </c>
      <c r="M7">
        <v>-2.1050266666666668</v>
      </c>
      <c r="N7">
        <v>-1.7716666670000001</v>
      </c>
      <c r="O7">
        <v>196.53959116600862</v>
      </c>
      <c r="P7">
        <v>3.8834554577878606</v>
      </c>
      <c r="Q7">
        <v>49.25856659615129</v>
      </c>
      <c r="R7">
        <v>245.62855770508219</v>
      </c>
      <c r="S7">
        <v>19.928258270227182</v>
      </c>
      <c r="T7">
        <v>1.8395315329999999</v>
      </c>
      <c r="W7">
        <v>930.87440809999998</v>
      </c>
      <c r="X7">
        <v>692.03402730000005</v>
      </c>
      <c r="Y7">
        <v>268.45418330000001</v>
      </c>
      <c r="Z7">
        <v>565.67131470000004</v>
      </c>
      <c r="AA7">
        <v>1.1224719219999999</v>
      </c>
      <c r="AB7">
        <v>4.1483479980000002</v>
      </c>
      <c r="AC7">
        <v>0.94035829999999998</v>
      </c>
      <c r="AD7">
        <v>1.0528252140000001</v>
      </c>
      <c r="AH7" s="15" t="s">
        <v>5</v>
      </c>
      <c r="AI7" s="15" t="s">
        <v>6</v>
      </c>
      <c r="AJ7" s="15">
        <v>1.9906371975308601</v>
      </c>
      <c r="AK7" s="15">
        <v>88.718221267263687</v>
      </c>
      <c r="AL7" s="15">
        <v>0.35230884386274242</v>
      </c>
      <c r="AM7" s="28">
        <v>3.0452873738827293</v>
      </c>
      <c r="AN7" s="28">
        <v>0.25764600355082945</v>
      </c>
      <c r="AO7" s="28">
        <v>35.465010238244709</v>
      </c>
      <c r="AP7" s="28">
        <v>19.352720167525774</v>
      </c>
      <c r="AQ7" s="28">
        <v>0.25444444444444447</v>
      </c>
      <c r="AR7" s="28">
        <v>6.4335082643969713E-2</v>
      </c>
      <c r="AS7" s="28">
        <v>72.39610578709555</v>
      </c>
      <c r="AT7" s="28">
        <v>-2.1281377777777775</v>
      </c>
      <c r="AU7" s="28">
        <v>-1.7994444444444444</v>
      </c>
      <c r="AV7" s="15">
        <v>199.49472384574523</v>
      </c>
      <c r="AW7" s="15">
        <v>3.0651023835559505</v>
      </c>
      <c r="AX7" s="15">
        <v>44.45551569888071</v>
      </c>
      <c r="AY7" s="15">
        <v>247.78421615107763</v>
      </c>
      <c r="AZ7" s="15">
        <v>18.463480189232744</v>
      </c>
      <c r="BA7" s="15">
        <v>1.5665995577395053</v>
      </c>
      <c r="BB7" s="15"/>
      <c r="BC7" s="15"/>
      <c r="BD7" s="15">
        <v>854.30496730007985</v>
      </c>
      <c r="BE7" s="15">
        <v>405.28663279037499</v>
      </c>
      <c r="BF7" s="15">
        <v>181.07666583502566</v>
      </c>
      <c r="BG7" s="15">
        <v>23.491951086439748</v>
      </c>
      <c r="BH7" s="15">
        <v>0.66539328598528069</v>
      </c>
      <c r="BI7" s="15">
        <v>4.2067649755432939</v>
      </c>
      <c r="BJ7" s="15">
        <v>0.56907385208399464</v>
      </c>
      <c r="BK7" s="15">
        <v>0.55779359263479344</v>
      </c>
      <c r="BL7" s="15">
        <v>1269.9976415094341</v>
      </c>
      <c r="BM7" s="15">
        <v>0.9289884433962271</v>
      </c>
      <c r="BN7" s="15">
        <v>130.06367924528303</v>
      </c>
      <c r="BO7" s="15">
        <v>1166.7051886792453</v>
      </c>
    </row>
    <row r="8" spans="1:138" x14ac:dyDescent="0.2">
      <c r="A8" t="s">
        <v>5</v>
      </c>
      <c r="B8" t="s">
        <v>6</v>
      </c>
      <c r="C8">
        <v>0.21534186322222221</v>
      </c>
      <c r="D8" s="2">
        <v>60.279847662481984</v>
      </c>
      <c r="E8">
        <v>0.30471601774141954</v>
      </c>
      <c r="F8" s="3">
        <v>4.0709708449009794</v>
      </c>
      <c r="G8" s="3">
        <v>0.20596915608786451</v>
      </c>
      <c r="H8">
        <v>42.189951200038472</v>
      </c>
      <c r="I8" s="3">
        <v>13.364913774749843</v>
      </c>
      <c r="J8" s="2">
        <v>0.20222222222222222</v>
      </c>
      <c r="K8" s="3">
        <v>3.811131594626159E-2</v>
      </c>
      <c r="L8" s="3">
        <v>65.512949236502109</v>
      </c>
      <c r="M8">
        <v>-2.0682800000000001</v>
      </c>
      <c r="N8">
        <v>-1.7275</v>
      </c>
      <c r="O8">
        <v>166.02870571024192</v>
      </c>
      <c r="P8">
        <v>3.1684908687698643</v>
      </c>
      <c r="Q8" s="2">
        <v>50.740718029999996</v>
      </c>
      <c r="R8">
        <v>238.21974230000001</v>
      </c>
      <c r="S8" s="2">
        <v>20.439545840000001</v>
      </c>
      <c r="T8">
        <v>1.532636355</v>
      </c>
      <c r="W8">
        <v>1206.453354</v>
      </c>
      <c r="X8">
        <v>580.17811759999995</v>
      </c>
      <c r="Y8">
        <v>212.7768859</v>
      </c>
      <c r="Z8">
        <v>554.73638129999995</v>
      </c>
      <c r="AA8">
        <v>0.82262828200000004</v>
      </c>
      <c r="AB8">
        <v>5.5758755659999997</v>
      </c>
      <c r="AC8">
        <v>0.63729548000000003</v>
      </c>
      <c r="AD8">
        <v>0.67010045900000004</v>
      </c>
      <c r="AH8" s="16" t="s">
        <v>111</v>
      </c>
      <c r="AI8" s="16" t="s">
        <v>6</v>
      </c>
      <c r="AJ8" s="16">
        <v>6.7097177633333329</v>
      </c>
      <c r="AK8" s="16">
        <v>169.49828675647851</v>
      </c>
      <c r="AL8" s="16">
        <v>0.5481227295223865</v>
      </c>
      <c r="AM8" s="17">
        <v>1.393357172175824</v>
      </c>
      <c r="AN8" s="17">
        <v>0.41905288272484187</v>
      </c>
      <c r="AO8" s="17">
        <v>30.516209976369389</v>
      </c>
      <c r="AP8" s="17">
        <v>6.9940981357410559</v>
      </c>
      <c r="AQ8" s="16">
        <v>0.31</v>
      </c>
      <c r="AR8" s="17">
        <v>4.4895588372796814E-2</v>
      </c>
      <c r="AS8" s="17">
        <v>26.325182631341949</v>
      </c>
      <c r="AT8" s="17">
        <v>-1.946484444</v>
      </c>
      <c r="AU8" s="17">
        <v>-1.581111111</v>
      </c>
      <c r="AV8" s="16">
        <v>173.46466055620903</v>
      </c>
      <c r="AW8" s="15">
        <v>2.9332961763270227</v>
      </c>
      <c r="AX8" s="15">
        <v>36.214322124198333</v>
      </c>
      <c r="AY8" s="15">
        <v>291.46464550398406</v>
      </c>
      <c r="AZ8" s="15">
        <v>10.696140600711416</v>
      </c>
      <c r="BA8" s="15">
        <v>1.2903786440838978</v>
      </c>
      <c r="BB8" s="15"/>
      <c r="BC8" s="15"/>
      <c r="BD8" s="16">
        <v>514.26885022621946</v>
      </c>
      <c r="BE8" s="16">
        <v>373.78930345230691</v>
      </c>
      <c r="BF8" s="16">
        <v>249.09980656316228</v>
      </c>
      <c r="BG8" s="16">
        <v>13.237766602321477</v>
      </c>
      <c r="BH8" s="16">
        <v>0.84061207594007392</v>
      </c>
      <c r="BI8" s="16">
        <v>3.9061520704540516</v>
      </c>
      <c r="BJ8" s="16">
        <v>0.66772838779107546</v>
      </c>
      <c r="BK8" s="16">
        <v>0.70059090001655289</v>
      </c>
      <c r="BL8" s="15">
        <v>1116.7181571815718</v>
      </c>
      <c r="BM8" s="15">
        <v>1.0442569105691064</v>
      </c>
      <c r="BN8" s="18">
        <v>123.30623306233062</v>
      </c>
      <c r="BO8" s="16">
        <v>1150.5257452574526</v>
      </c>
    </row>
    <row r="9" spans="1:138" x14ac:dyDescent="0.2">
      <c r="A9" t="s">
        <v>5</v>
      </c>
      <c r="B9" t="s">
        <v>6</v>
      </c>
      <c r="C9">
        <v>0.12745195537037038</v>
      </c>
      <c r="D9" s="2">
        <v>101.90973505411286</v>
      </c>
      <c r="E9">
        <v>0.42972387351915348</v>
      </c>
      <c r="F9" s="3">
        <v>2.4057086803368031</v>
      </c>
      <c r="G9" s="3">
        <v>0.29365590637010192</v>
      </c>
      <c r="H9">
        <v>28.846699858060482</v>
      </c>
      <c r="I9" s="3">
        <v>16.229155788869605</v>
      </c>
      <c r="J9" s="2">
        <v>0.23666666666666666</v>
      </c>
      <c r="K9" s="3">
        <v>8.2681764084389389E-2</v>
      </c>
      <c r="L9" s="3">
        <v>82.274979398031846</v>
      </c>
      <c r="M9">
        <v>-2.2111066666666663</v>
      </c>
      <c r="N9">
        <v>-1.899166667</v>
      </c>
      <c r="O9">
        <v>235.91587466098514</v>
      </c>
      <c r="P9">
        <v>2.1433608241101263</v>
      </c>
      <c r="Q9">
        <v>33.367262470490843</v>
      </c>
      <c r="R9">
        <v>259.50434844815072</v>
      </c>
      <c r="S9">
        <v>15.022636457471052</v>
      </c>
      <c r="T9">
        <v>1.3276307860000001</v>
      </c>
      <c r="W9">
        <v>1633.874583</v>
      </c>
      <c r="X9">
        <v>599.32208419999995</v>
      </c>
      <c r="Y9">
        <v>235.1480679</v>
      </c>
      <c r="Z9">
        <v>447.5489675</v>
      </c>
      <c r="AA9">
        <v>0.93749680599999996</v>
      </c>
      <c r="AB9">
        <v>5.7509887480000002</v>
      </c>
      <c r="AC9">
        <v>0.75190851400000003</v>
      </c>
      <c r="AD9">
        <v>0.544501334</v>
      </c>
      <c r="AH9" s="16" t="s">
        <v>10</v>
      </c>
      <c r="AI9" s="16" t="s">
        <v>6</v>
      </c>
      <c r="AJ9" s="16">
        <v>0.8904323091358024</v>
      </c>
      <c r="AK9" s="16">
        <v>145.12452897314475</v>
      </c>
      <c r="AL9" s="16">
        <v>0.46732429700708117</v>
      </c>
      <c r="AM9" s="17">
        <v>1.697511607686842</v>
      </c>
      <c r="AN9" s="17">
        <v>0.37601913803857223</v>
      </c>
      <c r="AO9" s="17">
        <v>29.365963348920062</v>
      </c>
      <c r="AP9" s="17">
        <v>5.5359493191023281</v>
      </c>
      <c r="AQ9" s="16">
        <v>0.31222222222222229</v>
      </c>
      <c r="AR9" s="17">
        <v>0.10035065056744531</v>
      </c>
      <c r="AS9" s="17">
        <v>70.331521497317851</v>
      </c>
      <c r="AT9" s="17">
        <v>-2.2873733330000001</v>
      </c>
      <c r="AU9" s="17">
        <v>-1.9908333330000001</v>
      </c>
      <c r="AV9" s="16">
        <v>161.44326213471578</v>
      </c>
      <c r="AW9" s="15">
        <v>3.813996109731463</v>
      </c>
      <c r="AX9" s="15">
        <v>46.720421865898146</v>
      </c>
      <c r="AY9" s="15">
        <v>267.55170275895665</v>
      </c>
      <c r="AZ9" s="15">
        <v>10.309892932451719</v>
      </c>
      <c r="BA9" s="15">
        <v>1.1573719226170402</v>
      </c>
      <c r="BB9" s="15"/>
      <c r="BC9" s="15"/>
      <c r="BD9" s="16">
        <v>1134.7911234985797</v>
      </c>
      <c r="BE9" s="16">
        <v>571.46776942757333</v>
      </c>
      <c r="BF9" s="16">
        <v>182.78153832907432</v>
      </c>
      <c r="BG9" s="16">
        <v>13.813416997952666</v>
      </c>
      <c r="BH9" s="16">
        <v>0.83378469986680426</v>
      </c>
      <c r="BI9" s="16">
        <v>3.4814667198086888</v>
      </c>
      <c r="BJ9" s="16">
        <v>0.62687146784396686</v>
      </c>
      <c r="BK9" s="16">
        <v>0.73518240317762051</v>
      </c>
      <c r="BL9" s="15">
        <v>1368.7063157894736</v>
      </c>
      <c r="BM9" s="15">
        <v>0.3891323157894751</v>
      </c>
      <c r="BN9" s="16">
        <v>159.87789473684211</v>
      </c>
      <c r="BO9" s="16">
        <v>520.19789473684216</v>
      </c>
    </row>
    <row r="10" spans="1:138" x14ac:dyDescent="0.2">
      <c r="A10" t="s">
        <v>7</v>
      </c>
      <c r="B10" t="s">
        <v>8</v>
      </c>
      <c r="C10">
        <v>0.13549554740740744</v>
      </c>
      <c r="D10" s="2">
        <v>354.57949393463895</v>
      </c>
      <c r="E10">
        <v>0.52402285840059137</v>
      </c>
      <c r="F10" s="3">
        <v>1.1420013917055896</v>
      </c>
      <c r="G10" s="3">
        <v>0.46686483941281615</v>
      </c>
      <c r="H10">
        <v>25.168501486672184</v>
      </c>
      <c r="I10" s="3">
        <v>17.229460143890577</v>
      </c>
      <c r="J10" s="2">
        <v>0.67666666666666664</v>
      </c>
      <c r="K10" s="3">
        <v>0.18500626006460855</v>
      </c>
      <c r="L10" s="3">
        <v>52.218933843542068</v>
      </c>
      <c r="M10">
        <v>-2.794893333333333</v>
      </c>
      <c r="N10">
        <v>-2.6008333330000002</v>
      </c>
      <c r="O10">
        <v>262.26122054483506</v>
      </c>
      <c r="P10" s="1">
        <v>6.892045091894949</v>
      </c>
      <c r="Q10" s="1">
        <v>34.846472138599395</v>
      </c>
      <c r="R10">
        <v>161.73532107377298</v>
      </c>
      <c r="S10" s="1">
        <v>54.837279612754585</v>
      </c>
      <c r="T10">
        <v>5.8252309149999997</v>
      </c>
      <c r="U10" s="1">
        <v>9.950543495599705</v>
      </c>
      <c r="V10" s="1">
        <v>306.22684704415786</v>
      </c>
      <c r="W10">
        <v>526.7505625</v>
      </c>
      <c r="X10">
        <v>445.25659619999999</v>
      </c>
      <c r="Y10">
        <v>205.44619710000001</v>
      </c>
      <c r="Z10">
        <v>223.6752362</v>
      </c>
      <c r="AA10">
        <v>1.558683391</v>
      </c>
      <c r="AB10">
        <v>2.7968159699999999</v>
      </c>
      <c r="AC10">
        <v>0.73309281900000001</v>
      </c>
      <c r="AD10">
        <v>0.89579971000000003</v>
      </c>
      <c r="AH10" s="16" t="s">
        <v>11</v>
      </c>
      <c r="AI10" s="16" t="s">
        <v>6</v>
      </c>
      <c r="AJ10" s="16">
        <v>1.4062556502469135</v>
      </c>
      <c r="AK10" s="16">
        <v>90.019335499391971</v>
      </c>
      <c r="AL10" s="16">
        <v>0.5499907695657833</v>
      </c>
      <c r="AM10" s="17">
        <v>1.7444559916491726</v>
      </c>
      <c r="AN10" s="17">
        <v>0.36579543552391952</v>
      </c>
      <c r="AO10" s="17">
        <v>28.665679609754118</v>
      </c>
      <c r="AP10" s="17">
        <v>0</v>
      </c>
      <c r="AQ10" s="16">
        <v>0.16481481481481483</v>
      </c>
      <c r="AR10" s="17">
        <v>4.7488490577161889E-2</v>
      </c>
      <c r="AS10" s="17">
        <v>52.99389607936056</v>
      </c>
      <c r="AT10" s="17">
        <v>-2.3127955560000002</v>
      </c>
      <c r="AU10" s="17">
        <v>-2.0213888889999998</v>
      </c>
      <c r="AV10" s="16">
        <v>188.32103575870616</v>
      </c>
      <c r="AW10" s="15">
        <v>3.252973057676126</v>
      </c>
      <c r="AX10" s="15">
        <v>32.460032770913593</v>
      </c>
      <c r="AY10" s="15">
        <v>121.93584293125942</v>
      </c>
      <c r="AZ10" s="15">
        <v>12.996613899363998</v>
      </c>
      <c r="BA10" s="15">
        <v>1.2085722169420856</v>
      </c>
      <c r="BB10" s="15"/>
      <c r="BC10" s="15"/>
      <c r="BD10" s="16">
        <v>587.05299521769393</v>
      </c>
      <c r="BE10" s="16">
        <v>262.23996605363851</v>
      </c>
      <c r="BF10" s="16">
        <v>172.26436736185087</v>
      </c>
      <c r="BG10" s="16">
        <v>15.277207182348674</v>
      </c>
      <c r="BH10" s="16">
        <v>0.78420251198250401</v>
      </c>
      <c r="BI10" s="16">
        <v>3.3531764281066798</v>
      </c>
      <c r="BJ10" s="16">
        <v>0.60377512748975481</v>
      </c>
      <c r="BK10" s="16">
        <v>0.60358776779661594</v>
      </c>
      <c r="BL10" s="15">
        <v>1115.967032967033</v>
      </c>
      <c r="BM10" s="15">
        <v>0.47698021978021965</v>
      </c>
      <c r="BN10" s="16">
        <v>134.49438202247191</v>
      </c>
      <c r="BO10" s="16">
        <v>510.17977528089887</v>
      </c>
    </row>
    <row r="11" spans="1:138" x14ac:dyDescent="0.2">
      <c r="A11" t="s">
        <v>7</v>
      </c>
      <c r="B11" t="s">
        <v>8</v>
      </c>
      <c r="C11">
        <v>0.13803496885185185</v>
      </c>
      <c r="D11" s="2">
        <v>345.71913704953153</v>
      </c>
      <c r="E11">
        <v>0.54778973524697927</v>
      </c>
      <c r="F11" s="3">
        <v>1.5861880910453952</v>
      </c>
      <c r="G11" s="3">
        <v>0.38703128178137608</v>
      </c>
      <c r="H11">
        <v>21.683080200331172</v>
      </c>
      <c r="I11" s="3">
        <v>14.975787020579054</v>
      </c>
      <c r="J11" s="2">
        <v>0.63111111111111107</v>
      </c>
      <c r="K11" s="3">
        <v>0.117774615674879</v>
      </c>
      <c r="L11" s="3">
        <v>34.146611626544306</v>
      </c>
      <c r="M11">
        <v>-2.5133999999999999</v>
      </c>
      <c r="N11">
        <v>-2.2625000000000002</v>
      </c>
      <c r="O11">
        <v>257.57899034599023</v>
      </c>
      <c r="P11" s="1">
        <v>6.5631867046383627</v>
      </c>
      <c r="Q11" s="1">
        <v>32.727863730297969</v>
      </c>
      <c r="R11">
        <v>159.68502474988051</v>
      </c>
      <c r="S11" s="1">
        <v>41.886180124857582</v>
      </c>
      <c r="T11">
        <v>5.545002234</v>
      </c>
      <c r="U11" s="1">
        <v>12.438257702272653</v>
      </c>
      <c r="V11" s="1">
        <v>344.05338166785856</v>
      </c>
      <c r="W11">
        <v>285.53609669999997</v>
      </c>
      <c r="X11">
        <v>390.32314059999999</v>
      </c>
      <c r="Y11">
        <v>213.32902480000001</v>
      </c>
      <c r="Z11">
        <v>193.74512469999999</v>
      </c>
      <c r="AA11">
        <v>0.989614518</v>
      </c>
      <c r="AB11">
        <v>4.0615935749999998</v>
      </c>
      <c r="AC11">
        <v>0.73309281900000001</v>
      </c>
      <c r="AD11">
        <v>1.081707024</v>
      </c>
      <c r="AH11" s="16" t="s">
        <v>14</v>
      </c>
      <c r="AI11" s="16" t="s">
        <v>6</v>
      </c>
      <c r="AJ11" s="16">
        <v>2.4768010997530867</v>
      </c>
      <c r="AK11" s="16">
        <v>117.52475559552411</v>
      </c>
      <c r="AL11" s="16">
        <v>0.40429892436727222</v>
      </c>
      <c r="AM11" s="17">
        <v>1.3203379920663616</v>
      </c>
      <c r="AN11" s="17">
        <v>0.4314423482793881</v>
      </c>
      <c r="AO11" s="17">
        <v>30.151205266852131</v>
      </c>
      <c r="AP11" s="17">
        <v>28.912674143270412</v>
      </c>
      <c r="AQ11" s="16">
        <v>0.29074074074074074</v>
      </c>
      <c r="AR11" s="17">
        <v>5.1808812428362903E-2</v>
      </c>
      <c r="AS11" s="17">
        <v>43.51974324684172</v>
      </c>
      <c r="AT11" s="17">
        <v>-2.3710355559999998</v>
      </c>
      <c r="AU11" s="17">
        <v>-2.0913888890000001</v>
      </c>
      <c r="AV11" s="16">
        <v>150.85927677495894</v>
      </c>
      <c r="AW11" s="15">
        <v>4.0616174932635669</v>
      </c>
      <c r="AX11" s="15">
        <v>49.878556853447243</v>
      </c>
      <c r="AY11" s="15">
        <v>150.49818942405628</v>
      </c>
      <c r="AZ11" s="15">
        <v>14.256403443330504</v>
      </c>
      <c r="BA11" s="15">
        <v>1.943499129629062</v>
      </c>
      <c r="BB11" s="15"/>
      <c r="BC11" s="15"/>
      <c r="BD11" s="16">
        <v>1282.0277715417694</v>
      </c>
      <c r="BE11" s="16">
        <v>278.34471047415349</v>
      </c>
      <c r="BF11" s="16">
        <v>140.61885789741481</v>
      </c>
      <c r="BG11" s="16">
        <v>19.62957285396504</v>
      </c>
      <c r="BH11" s="16">
        <v>0.58396609811516142</v>
      </c>
      <c r="BI11" s="16">
        <v>3.3397716936975606</v>
      </c>
      <c r="BJ11" s="16">
        <v>0.67427347020810557</v>
      </c>
      <c r="BK11" s="16">
        <v>0.71549260269866088</v>
      </c>
      <c r="BL11" s="15">
        <v>1274.8454047474133</v>
      </c>
      <c r="BM11" s="15">
        <v>0.53321253804016799</v>
      </c>
      <c r="BN11" s="16">
        <v>144.119293974437</v>
      </c>
      <c r="BO11" s="16">
        <v>648.35849056603774</v>
      </c>
    </row>
    <row r="12" spans="1:138" x14ac:dyDescent="0.2">
      <c r="A12" t="s">
        <v>7</v>
      </c>
      <c r="B12" t="s">
        <v>8</v>
      </c>
      <c r="C12">
        <v>0.14519206325925929</v>
      </c>
      <c r="D12" s="2">
        <v>391.060454355665</v>
      </c>
      <c r="E12">
        <v>0.62124587642113138</v>
      </c>
      <c r="F12" s="3">
        <v>1.1706519911926951</v>
      </c>
      <c r="G12" s="3">
        <v>0.46072232635385424</v>
      </c>
      <c r="H12">
        <v>20.921866880512656</v>
      </c>
      <c r="I12" s="3">
        <v>11.999012521230794</v>
      </c>
      <c r="J12" s="2">
        <v>0.63111111111111107</v>
      </c>
      <c r="K12" s="3">
        <v>0.11247428043907313</v>
      </c>
      <c r="L12" s="3">
        <v>28.692054680115479</v>
      </c>
      <c r="M12">
        <v>-2.6049199999999999</v>
      </c>
      <c r="N12">
        <v>-2.3725000000000001</v>
      </c>
      <c r="O12">
        <v>244.52738510978659</v>
      </c>
      <c r="P12" s="1">
        <v>6.534616752325868</v>
      </c>
      <c r="Q12" s="1">
        <v>38.580879836567782</v>
      </c>
      <c r="R12">
        <v>248.15891792840216</v>
      </c>
      <c r="S12" s="1">
        <v>34.107042371491715</v>
      </c>
      <c r="T12">
        <v>5.5170401529999999</v>
      </c>
      <c r="U12" s="1">
        <v>21.29728069687491</v>
      </c>
      <c r="V12" s="1">
        <v>458.2866364238298</v>
      </c>
      <c r="W12">
        <v>272.53458030000002</v>
      </c>
      <c r="X12">
        <v>331.32510200000002</v>
      </c>
      <c r="Y12">
        <v>313.71190890000003</v>
      </c>
      <c r="Z12">
        <v>204.21450530000001</v>
      </c>
      <c r="AA12">
        <v>1.126892126</v>
      </c>
      <c r="AB12">
        <v>3.4685137849999998</v>
      </c>
      <c r="AC12">
        <v>0.79448782299999998</v>
      </c>
      <c r="AD12">
        <v>1.059924968</v>
      </c>
      <c r="AH12" s="16" t="s">
        <v>15</v>
      </c>
      <c r="AI12" s="16" t="s">
        <v>6</v>
      </c>
      <c r="AJ12" s="16">
        <v>4.1701250727160497</v>
      </c>
      <c r="AK12" s="16">
        <v>125.77513533961567</v>
      </c>
      <c r="AL12" s="16">
        <v>0.3985266586432058</v>
      </c>
      <c r="AM12" s="17">
        <v>1.6523161367281245</v>
      </c>
      <c r="AN12" s="17">
        <v>0.38243641105900278</v>
      </c>
      <c r="AO12" s="17">
        <v>30.472940530443832</v>
      </c>
      <c r="AP12" s="17">
        <v>40.162738217115113</v>
      </c>
      <c r="AQ12" s="16">
        <v>0.31222222222222218</v>
      </c>
      <c r="AR12" s="17">
        <v>5.4524422245538558E-2</v>
      </c>
      <c r="AS12" s="17">
        <v>48.161961151868574</v>
      </c>
      <c r="AT12" s="17">
        <v>-2.3985377780000001</v>
      </c>
      <c r="AU12" s="17">
        <v>-2.1244444439999999</v>
      </c>
      <c r="AV12" s="16">
        <v>170.30913296273445</v>
      </c>
      <c r="AW12" s="15">
        <v>4.2251995380731922</v>
      </c>
      <c r="AX12" s="15">
        <v>75.793843019829467</v>
      </c>
      <c r="AY12" s="15">
        <v>157.38340265641978</v>
      </c>
      <c r="AZ12" s="15">
        <v>17.638518427677454</v>
      </c>
      <c r="BA12" s="15">
        <v>2.5872329698555285</v>
      </c>
      <c r="BB12" s="15"/>
      <c r="BC12" s="15"/>
      <c r="BD12" s="16">
        <v>2139.9739829834348</v>
      </c>
      <c r="BE12" s="16">
        <v>231.29420877868006</v>
      </c>
      <c r="BF12" s="16">
        <v>164.66108984036259</v>
      </c>
      <c r="BG12" s="16">
        <v>23.229706390328147</v>
      </c>
      <c r="BH12" s="16">
        <v>0.5488276393019319</v>
      </c>
      <c r="BI12" s="16">
        <v>2.8806041839122742</v>
      </c>
      <c r="BJ12" s="16">
        <v>0.4875610196455154</v>
      </c>
      <c r="BK12" s="16">
        <v>0.61593647484440628</v>
      </c>
      <c r="BL12" s="15">
        <v>1277.1195652173913</v>
      </c>
      <c r="BM12" s="15">
        <v>0.39927391304347798</v>
      </c>
      <c r="BN12" s="16">
        <v>155.58043478260871</v>
      </c>
      <c r="BO12" s="16">
        <v>505.27391304347827</v>
      </c>
    </row>
    <row r="13" spans="1:138" x14ac:dyDescent="0.2">
      <c r="A13" t="s">
        <v>9</v>
      </c>
      <c r="B13" t="s">
        <v>6</v>
      </c>
      <c r="C13">
        <v>0.33429861455555554</v>
      </c>
      <c r="D13">
        <v>173.15018703210444</v>
      </c>
      <c r="E13">
        <v>0.55663062486793935</v>
      </c>
      <c r="F13" s="3">
        <v>1.2311505442797051</v>
      </c>
      <c r="G13" s="3">
        <v>0.4482136071049429</v>
      </c>
      <c r="H13">
        <v>29.619044386759509</v>
      </c>
      <c r="I13" s="3">
        <v>7.7053782505910062</v>
      </c>
      <c r="J13">
        <v>0.31111111111111112</v>
      </c>
      <c r="K13" s="3">
        <v>8.4783565760864876E-2</v>
      </c>
      <c r="L13" s="3">
        <v>49.139197414609008</v>
      </c>
      <c r="M13">
        <v>-1.9095066666666665</v>
      </c>
      <c r="N13">
        <v>-1.536666667</v>
      </c>
      <c r="O13">
        <v>153.61435224724963</v>
      </c>
      <c r="P13">
        <v>2.2433087040500355</v>
      </c>
      <c r="Q13">
        <v>39.350236584194334</v>
      </c>
      <c r="R13">
        <v>243.11928340027185</v>
      </c>
      <c r="S13">
        <v>11.58843547843149</v>
      </c>
      <c r="T13">
        <v>1.224719216</v>
      </c>
      <c r="W13">
        <v>774.64273470000001</v>
      </c>
      <c r="X13">
        <v>325.44743249999999</v>
      </c>
      <c r="Y13">
        <v>205.57048280000001</v>
      </c>
      <c r="Z13">
        <v>170.4471005</v>
      </c>
      <c r="AA13">
        <v>0.71537337400000001</v>
      </c>
      <c r="AB13">
        <v>4.6767023329999997</v>
      </c>
      <c r="AC13">
        <v>0.58425565400000001</v>
      </c>
      <c r="AD13">
        <v>0.53637673600000002</v>
      </c>
      <c r="AH13" s="16" t="s">
        <v>7</v>
      </c>
      <c r="AI13" s="16" t="s">
        <v>8</v>
      </c>
      <c r="AJ13" s="16">
        <v>1.395741931728395</v>
      </c>
      <c r="AK13" s="16">
        <v>363.78636177994508</v>
      </c>
      <c r="AL13" s="16">
        <v>0.56435282335623393</v>
      </c>
      <c r="AM13" s="17">
        <v>1.2996138246478932</v>
      </c>
      <c r="AN13" s="17">
        <v>0.43820614918268214</v>
      </c>
      <c r="AO13" s="17">
        <v>22.59114952250534</v>
      </c>
      <c r="AP13" s="17">
        <v>14.734753228566808</v>
      </c>
      <c r="AQ13" s="16">
        <v>0.64629629629629626</v>
      </c>
      <c r="AR13" s="17">
        <v>0.13841838539285356</v>
      </c>
      <c r="AS13" s="17">
        <v>38.352533383400619</v>
      </c>
      <c r="AT13" s="17">
        <v>-2.637737778</v>
      </c>
      <c r="AU13" s="17">
        <v>-2.411944444</v>
      </c>
      <c r="AV13" s="16">
        <v>254.78919866687065</v>
      </c>
      <c r="AW13" s="15">
        <v>6.6632828496197263</v>
      </c>
      <c r="AX13" s="15">
        <v>35.385071901821711</v>
      </c>
      <c r="AY13" s="15">
        <v>189.85975458401856</v>
      </c>
      <c r="AZ13" s="15">
        <v>43.610167369701287</v>
      </c>
      <c r="BA13" s="15">
        <v>5.6290911006624782</v>
      </c>
      <c r="BB13" s="15">
        <v>369.52228837861543</v>
      </c>
      <c r="BC13" s="15">
        <v>14.56202729824909</v>
      </c>
      <c r="BD13" s="16">
        <v>361.60707982143759</v>
      </c>
      <c r="BE13" s="16">
        <v>388.96827962674894</v>
      </c>
      <c r="BF13" s="16">
        <v>244.16237692002071</v>
      </c>
      <c r="BG13" s="16">
        <v>14.219866383128462</v>
      </c>
      <c r="BH13" s="16">
        <v>1.2250633452577426</v>
      </c>
      <c r="BI13" s="16">
        <v>3.4423077767342654</v>
      </c>
      <c r="BJ13" s="16">
        <v>0.75355782021395046</v>
      </c>
      <c r="BK13" s="16">
        <v>1.0124772343745831</v>
      </c>
      <c r="BL13" s="15">
        <v>1230.0192926045015</v>
      </c>
      <c r="BM13" s="15">
        <v>0.26659581993569142</v>
      </c>
      <c r="BN13" s="16">
        <v>167.70739549839229</v>
      </c>
      <c r="BO13" s="16">
        <v>324.60771704180064</v>
      </c>
    </row>
    <row r="14" spans="1:138" x14ac:dyDescent="0.2">
      <c r="A14" t="s">
        <v>9</v>
      </c>
      <c r="B14" t="s">
        <v>6</v>
      </c>
      <c r="C14">
        <v>0.75023326655555578</v>
      </c>
      <c r="D14">
        <v>160.83364902039662</v>
      </c>
      <c r="E14">
        <v>0.5349693829394977</v>
      </c>
      <c r="F14" s="3">
        <v>1.5227851136226267</v>
      </c>
      <c r="G14" s="3">
        <v>0.39648034854010988</v>
      </c>
      <c r="H14" s="4">
        <v>30.737229599833665</v>
      </c>
      <c r="I14" s="3">
        <v>6.1153848774538186</v>
      </c>
      <c r="J14">
        <v>0.30111111111111111</v>
      </c>
      <c r="K14" s="3">
        <v>2.4467844918444618E-2</v>
      </c>
      <c r="L14" s="3">
        <v>15.278943952951664</v>
      </c>
      <c r="M14">
        <v>-1.8810799999999999</v>
      </c>
      <c r="N14">
        <v>-1.5024999999999999</v>
      </c>
      <c r="O14">
        <v>166.68703035608087</v>
      </c>
      <c r="P14">
        <v>4.0066825321082709</v>
      </c>
      <c r="Q14">
        <v>30.508251346688269</v>
      </c>
      <c r="R14">
        <v>357.69104129371226</v>
      </c>
      <c r="S14">
        <v>10.356911648942152</v>
      </c>
      <c r="T14">
        <v>1.0133215</v>
      </c>
      <c r="W14">
        <v>256.30326439999999</v>
      </c>
      <c r="X14">
        <v>495.63279199999999</v>
      </c>
      <c r="Y14">
        <v>287.96954959999999</v>
      </c>
      <c r="Z14">
        <v>136.2251163</v>
      </c>
      <c r="AA14">
        <v>1.2771376560000001</v>
      </c>
      <c r="AB14">
        <v>4.4577230559999999</v>
      </c>
      <c r="AC14">
        <v>0.955776348</v>
      </c>
      <c r="AD14">
        <v>1.0121057570000001</v>
      </c>
      <c r="AH14" s="16" t="s">
        <v>13</v>
      </c>
      <c r="AI14" s="16" t="s">
        <v>8</v>
      </c>
      <c r="AJ14" s="16">
        <v>1.4914705335802469</v>
      </c>
      <c r="AK14" s="16">
        <v>307.12442391189455</v>
      </c>
      <c r="AL14" s="16">
        <v>0.51069172593576295</v>
      </c>
      <c r="AM14" s="17">
        <v>1.7477264775763768</v>
      </c>
      <c r="AN14" s="17">
        <v>0.39382982637255842</v>
      </c>
      <c r="AO14" s="17">
        <v>26.386232355199141</v>
      </c>
      <c r="AP14" s="17">
        <v>8.8319808210010908</v>
      </c>
      <c r="AQ14" s="16">
        <v>0.6022222222222221</v>
      </c>
      <c r="AR14" s="17">
        <v>0.11529005898868057</v>
      </c>
      <c r="AS14" s="17">
        <v>37.278294356823686</v>
      </c>
      <c r="AT14" s="17">
        <v>-2.8076044439999999</v>
      </c>
      <c r="AU14" s="17">
        <v>-2.6161111109999999</v>
      </c>
      <c r="AV14" s="16">
        <v>358.62101688092446</v>
      </c>
      <c r="AW14" s="15">
        <v>6.3449608986769688</v>
      </c>
      <c r="AX14" s="15">
        <v>39.024676222891777</v>
      </c>
      <c r="AY14" s="15">
        <v>173.18231126840632</v>
      </c>
      <c r="AZ14" s="15">
        <v>43.544110670799569</v>
      </c>
      <c r="BA14" s="15">
        <v>6.4949024923737477</v>
      </c>
      <c r="BB14" s="15">
        <v>325.86363694110349</v>
      </c>
      <c r="BC14" s="15">
        <v>14.418736049582554</v>
      </c>
      <c r="BD14" s="16">
        <v>300.46217763391138</v>
      </c>
      <c r="BE14" s="16">
        <v>256.39718242231874</v>
      </c>
      <c r="BF14" s="16">
        <v>133.80278903352067</v>
      </c>
      <c r="BG14" s="16">
        <v>15.649782365180052</v>
      </c>
      <c r="BH14" s="16">
        <v>1.0666453236290054</v>
      </c>
      <c r="BI14" s="16">
        <v>3.2319167567498202</v>
      </c>
      <c r="BJ14" s="16">
        <v>0.64738296197460921</v>
      </c>
      <c r="BK14" s="16">
        <v>0.89093673984424304</v>
      </c>
      <c r="BL14" s="15">
        <v>1160.4327390599676</v>
      </c>
      <c r="BM14" s="15">
        <v>0.37016110210696945</v>
      </c>
      <c r="BN14" s="16">
        <v>155.95180722891567</v>
      </c>
      <c r="BO14" s="16">
        <v>436.35993975903614</v>
      </c>
    </row>
    <row r="15" spans="1:138" x14ac:dyDescent="0.2">
      <c r="A15" t="s">
        <v>9</v>
      </c>
      <c r="B15" t="s">
        <v>6</v>
      </c>
      <c r="C15">
        <v>0.92838344788888894</v>
      </c>
      <c r="D15">
        <v>174.51102421693449</v>
      </c>
      <c r="E15">
        <v>0.55276818075972256</v>
      </c>
      <c r="F15" s="3">
        <v>1.4261358586251403</v>
      </c>
      <c r="G15" s="3">
        <v>0.41246469252947282</v>
      </c>
      <c r="H15" s="4">
        <v>31.192355942514986</v>
      </c>
      <c r="I15" s="3">
        <v>7.1615312791783419</v>
      </c>
      <c r="J15">
        <v>0.31777777777777777</v>
      </c>
      <c r="K15" s="3">
        <v>2.543535443908097E-2</v>
      </c>
      <c r="L15" s="3">
        <v>14.557406526465167</v>
      </c>
      <c r="M15">
        <v>-2.0488666666666666</v>
      </c>
      <c r="N15">
        <v>-1.704166667</v>
      </c>
      <c r="O15">
        <v>200.09259906529658</v>
      </c>
      <c r="P15">
        <v>2.5498972928227612</v>
      </c>
      <c r="Q15">
        <v>38.784478441712395</v>
      </c>
      <c r="R15">
        <v>273.58361181796806</v>
      </c>
      <c r="S15">
        <v>10.143074674760605</v>
      </c>
      <c r="T15">
        <v>1.6330952160000001</v>
      </c>
      <c r="W15">
        <v>602.31301589999998</v>
      </c>
      <c r="X15">
        <v>300.28768580000002</v>
      </c>
      <c r="Y15">
        <v>253.75938729999999</v>
      </c>
      <c r="Z15">
        <v>152.65041790000001</v>
      </c>
      <c r="AA15">
        <v>0.52932519899999997</v>
      </c>
      <c r="AB15">
        <v>2.5840308219999999</v>
      </c>
      <c r="AC15">
        <v>0.46315316099999998</v>
      </c>
      <c r="AD15">
        <v>0.55329020699999998</v>
      </c>
      <c r="AH15" s="16" t="s">
        <v>12</v>
      </c>
      <c r="AI15" s="16" t="s">
        <v>8</v>
      </c>
      <c r="AJ15" s="16">
        <v>0.555180092345679</v>
      </c>
      <c r="AK15" s="16">
        <v>243.13644870838644</v>
      </c>
      <c r="AL15" s="16">
        <v>0.51268022332383567</v>
      </c>
      <c r="AM15" s="17">
        <v>1.5043585485727997</v>
      </c>
      <c r="AN15" s="17">
        <v>0.41333847868396451</v>
      </c>
      <c r="AO15" s="17">
        <v>14.842659175406345</v>
      </c>
      <c r="AP15" s="17">
        <v>20.484650572340243</v>
      </c>
      <c r="AQ15" s="16">
        <v>0.49814814814814817</v>
      </c>
      <c r="AR15" s="17">
        <v>0.22003161349447886</v>
      </c>
      <c r="AS15" s="17">
        <v>91.191312135445727</v>
      </c>
      <c r="AT15" s="17">
        <v>-2.616937778</v>
      </c>
      <c r="AU15" s="17">
        <v>-2.3869444440000001</v>
      </c>
      <c r="AV15" s="16">
        <v>194.60831642269073</v>
      </c>
      <c r="AW15" s="15">
        <v>4.686080050574895</v>
      </c>
      <c r="AX15" s="15">
        <v>30.439864815797975</v>
      </c>
      <c r="AY15" s="15">
        <v>231.13100789100449</v>
      </c>
      <c r="AZ15" s="15">
        <v>30.597342048750239</v>
      </c>
      <c r="BA15" s="15">
        <v>4.6098935110749091</v>
      </c>
      <c r="BB15" s="15">
        <v>243.00718528945379</v>
      </c>
      <c r="BC15" s="15">
        <v>13.81524732731012</v>
      </c>
      <c r="BD15" s="16">
        <v>220.85596831244638</v>
      </c>
      <c r="BE15" s="16">
        <v>273.47664245237223</v>
      </c>
      <c r="BF15" s="16">
        <v>176.29615713713952</v>
      </c>
      <c r="BG15" s="16">
        <v>13.973881119955637</v>
      </c>
      <c r="BH15" s="16">
        <v>0.98208366808469549</v>
      </c>
      <c r="BI15" s="16">
        <v>3.2206373665933508</v>
      </c>
      <c r="BJ15" s="16">
        <v>2.8509165179914717</v>
      </c>
      <c r="BK15" s="16">
        <v>1.1762310154186562</v>
      </c>
      <c r="BL15" s="15">
        <v>1106.2234042553191</v>
      </c>
      <c r="BM15" s="15">
        <v>0.41929361702127638</v>
      </c>
      <c r="BN15" s="16">
        <v>139.13333333333333</v>
      </c>
      <c r="BO15" s="16">
        <v>397.37333333333333</v>
      </c>
    </row>
    <row r="16" spans="1:138" x14ac:dyDescent="0.2">
      <c r="A16" t="s">
        <v>10</v>
      </c>
      <c r="B16" t="s">
        <v>6</v>
      </c>
      <c r="C16">
        <v>0.10929667507407406</v>
      </c>
      <c r="D16">
        <v>137.60152035380216</v>
      </c>
      <c r="E16">
        <v>0.49114490928431437</v>
      </c>
      <c r="F16" s="3">
        <v>1.6207722654527792</v>
      </c>
      <c r="G16" s="3">
        <v>0.38226012697422473</v>
      </c>
      <c r="H16" s="4">
        <v>33.105785659315806</v>
      </c>
      <c r="I16" s="3">
        <v>1.4981273408239626</v>
      </c>
      <c r="J16">
        <v>0.28000000000000003</v>
      </c>
      <c r="K16" s="3">
        <v>8.6352293254321311E-2</v>
      </c>
      <c r="L16" s="3">
        <v>63.071279086736489</v>
      </c>
      <c r="M16">
        <v>-2.4094000000000002</v>
      </c>
      <c r="N16">
        <v>-2.1375000000000002</v>
      </c>
      <c r="O16">
        <v>199.05435484083398</v>
      </c>
      <c r="P16">
        <v>5.6140458452136413</v>
      </c>
      <c r="Q16">
        <v>45.324217432627151</v>
      </c>
      <c r="R16">
        <v>264.84169809199699</v>
      </c>
      <c r="S16">
        <v>8.7005753645849282</v>
      </c>
      <c r="T16">
        <v>0.51108317700000006</v>
      </c>
      <c r="W16">
        <v>1106.4560779999999</v>
      </c>
      <c r="X16">
        <v>530.61059680000005</v>
      </c>
      <c r="Y16">
        <v>139.7728888</v>
      </c>
      <c r="Z16">
        <v>222.01988130000001</v>
      </c>
      <c r="AA16">
        <v>0.87990924999999998</v>
      </c>
      <c r="AB16">
        <v>3.6089053770000001</v>
      </c>
      <c r="AC16">
        <v>0.50290748200000002</v>
      </c>
      <c r="AD16">
        <v>0.52753676500000002</v>
      </c>
      <c r="AH16" s="15" t="s">
        <v>16</v>
      </c>
      <c r="AI16" s="15" t="s">
        <v>8</v>
      </c>
      <c r="AJ16" s="15">
        <v>1.2012261917283951</v>
      </c>
      <c r="AK16" s="15">
        <v>261.72317032368687</v>
      </c>
      <c r="AL16" s="15">
        <v>0.4262590130589452</v>
      </c>
      <c r="AM16" s="28">
        <v>1.3911185945090019</v>
      </c>
      <c r="AN16" s="28">
        <v>0.42169052325467188</v>
      </c>
      <c r="AO16" s="28">
        <v>83.150232716440939</v>
      </c>
      <c r="AP16" s="28">
        <v>15.105560717080563</v>
      </c>
      <c r="AQ16" s="28">
        <v>0.4580555555555556</v>
      </c>
      <c r="AR16" s="28">
        <v>0.49824687869654366</v>
      </c>
      <c r="AS16" s="28">
        <v>196.69797517629027</v>
      </c>
      <c r="AT16" s="28">
        <v>-2.5194088890000002</v>
      </c>
      <c r="AU16" s="28">
        <v>-2.269722222</v>
      </c>
      <c r="AV16" s="15">
        <v>276.04443269226545</v>
      </c>
      <c r="AW16" s="15">
        <v>5.8503562632528618</v>
      </c>
      <c r="AX16" s="15">
        <v>32.334527404745167</v>
      </c>
      <c r="AY16" s="15">
        <v>260.12515947033273</v>
      </c>
      <c r="AZ16" s="15">
        <v>42.195205866520304</v>
      </c>
      <c r="BA16" s="15">
        <v>5.9903692919616107</v>
      </c>
      <c r="BB16" s="15">
        <v>307.90933945887809</v>
      </c>
      <c r="BC16" s="15">
        <v>20.327609853683224</v>
      </c>
      <c r="BD16" s="15">
        <v>351.22199625143026</v>
      </c>
      <c r="BE16" s="15">
        <v>303.73520505369316</v>
      </c>
      <c r="BF16" s="15">
        <v>122.79967536031309</v>
      </c>
      <c r="BG16" s="15">
        <v>12.708428102161555</v>
      </c>
      <c r="BH16" s="15">
        <v>1.8858194763999026</v>
      </c>
      <c r="BI16" s="15">
        <v>3.9841237517953307</v>
      </c>
      <c r="BJ16" s="15">
        <v>1.4216084072656834</v>
      </c>
      <c r="BK16" s="15">
        <v>1.487663758002373</v>
      </c>
      <c r="BL16" s="15">
        <v>1324.1111111111099</v>
      </c>
      <c r="BM16" s="15">
        <v>0.43411111000000002</v>
      </c>
      <c r="BN16" s="15">
        <v>145.54320987654322</v>
      </c>
      <c r="BO16" s="15">
        <v>564.98765432098764</v>
      </c>
      <c r="BP16" s="1"/>
      <c r="BS16" s="1"/>
      <c r="BT16" s="1"/>
    </row>
    <row r="17" spans="1:64" x14ac:dyDescent="0.2">
      <c r="A17" t="s">
        <v>10</v>
      </c>
      <c r="B17" t="s">
        <v>6</v>
      </c>
      <c r="C17">
        <v>8.9431720777777793E-2</v>
      </c>
      <c r="D17">
        <v>138.04335365240982</v>
      </c>
      <c r="E17">
        <v>0.46650783675559754</v>
      </c>
      <c r="F17" s="3">
        <v>1.6372356104859154</v>
      </c>
      <c r="G17" s="3">
        <v>0.39243246010491434</v>
      </c>
      <c r="H17" s="4">
        <v>25.941688657147544</v>
      </c>
      <c r="I17" s="3">
        <v>7.4758574758574881</v>
      </c>
      <c r="J17">
        <v>0.29666666666666669</v>
      </c>
      <c r="K17" s="3">
        <v>9.0074571366255698E-2</v>
      </c>
      <c r="L17" s="3">
        <v>69.668263187508373</v>
      </c>
      <c r="M17">
        <v>-2.2319066666666667</v>
      </c>
      <c r="N17">
        <v>-1.9241666669999999</v>
      </c>
      <c r="O17">
        <v>137.23039640302275</v>
      </c>
      <c r="P17">
        <v>3.2735485585226525</v>
      </c>
      <c r="Q17">
        <v>51.5575722271617</v>
      </c>
      <c r="R17">
        <v>288.86041021553177</v>
      </c>
      <c r="S17">
        <v>11.65935963863425</v>
      </c>
      <c r="T17">
        <v>2.144076197</v>
      </c>
      <c r="W17">
        <v>1352.0734769999999</v>
      </c>
      <c r="X17">
        <v>638.95730149999997</v>
      </c>
      <c r="Y17">
        <v>230.63623279999999</v>
      </c>
      <c r="Z17">
        <v>256.04663699999998</v>
      </c>
      <c r="AA17">
        <v>0.99370471400000004</v>
      </c>
      <c r="AB17">
        <v>3.5835096219999998</v>
      </c>
      <c r="AC17">
        <v>0.90126825499999996</v>
      </c>
      <c r="AD17">
        <v>1.127786124</v>
      </c>
      <c r="AH17" s="10"/>
      <c r="AI17" s="10"/>
      <c r="AJ17" s="8" t="s">
        <v>17</v>
      </c>
      <c r="AK17" s="9" t="s">
        <v>17</v>
      </c>
      <c r="AL17" s="9" t="s">
        <v>17</v>
      </c>
      <c r="AM17" s="9" t="s">
        <v>17</v>
      </c>
      <c r="AN17" s="9" t="s">
        <v>17</v>
      </c>
      <c r="AO17" s="9" t="s">
        <v>17</v>
      </c>
      <c r="AP17" s="9" t="s">
        <v>17</v>
      </c>
      <c r="AQ17" s="8" t="s">
        <v>17</v>
      </c>
      <c r="AR17" s="9" t="s">
        <v>17</v>
      </c>
      <c r="AS17" s="9" t="s">
        <v>17</v>
      </c>
      <c r="AT17" s="9" t="s">
        <v>17</v>
      </c>
      <c r="AU17" s="9" t="s">
        <v>17</v>
      </c>
      <c r="AV17" s="9" t="s">
        <v>17</v>
      </c>
      <c r="AW17" s="9" t="s">
        <v>17</v>
      </c>
      <c r="AX17" s="9" t="s">
        <v>17</v>
      </c>
      <c r="AY17" s="9" t="s">
        <v>17</v>
      </c>
      <c r="AZ17" s="9" t="s">
        <v>17</v>
      </c>
      <c r="BA17" s="9" t="s">
        <v>17</v>
      </c>
      <c r="BB17" s="9"/>
      <c r="BC17" s="9"/>
      <c r="BD17" s="9" t="s">
        <v>17</v>
      </c>
      <c r="BE17" s="9" t="s">
        <v>17</v>
      </c>
      <c r="BF17" s="9" t="s">
        <v>17</v>
      </c>
      <c r="BG17" s="9" t="s">
        <v>17</v>
      </c>
      <c r="BH17" s="9" t="s">
        <v>17</v>
      </c>
      <c r="BI17" s="9" t="s">
        <v>17</v>
      </c>
      <c r="BJ17" s="9" t="s">
        <v>17</v>
      </c>
      <c r="BK17" s="9" t="s">
        <v>17</v>
      </c>
    </row>
    <row r="18" spans="1:64" x14ac:dyDescent="0.2">
      <c r="A18" t="s">
        <v>10</v>
      </c>
      <c r="B18" t="s">
        <v>6</v>
      </c>
      <c r="C18">
        <v>6.8401296888888893E-2</v>
      </c>
      <c r="D18">
        <v>159.72871291322238</v>
      </c>
      <c r="E18">
        <v>0.44432014498133171</v>
      </c>
      <c r="F18" s="3">
        <v>1.8345269471218317</v>
      </c>
      <c r="G18" s="3">
        <v>0.35336482703657762</v>
      </c>
      <c r="H18" s="4">
        <v>29.050415730296837</v>
      </c>
      <c r="I18" s="3">
        <v>7.6338631406255342</v>
      </c>
      <c r="J18">
        <v>0.35999999999999993</v>
      </c>
      <c r="K18" s="3">
        <v>0.12462508708175896</v>
      </c>
      <c r="L18" s="3">
        <v>78.255022217708685</v>
      </c>
      <c r="M18">
        <v>-2.2208133333333331</v>
      </c>
      <c r="N18">
        <v>-1.910833333</v>
      </c>
      <c r="O18">
        <v>148.04503516029058</v>
      </c>
      <c r="P18">
        <v>2.5543939254580947</v>
      </c>
      <c r="Q18">
        <v>43.279475937905588</v>
      </c>
      <c r="R18">
        <v>248.95299996934114</v>
      </c>
      <c r="S18">
        <v>10.569743794135983</v>
      </c>
      <c r="T18">
        <v>0.816956393</v>
      </c>
      <c r="W18">
        <v>945.84381580000002</v>
      </c>
      <c r="X18">
        <v>544.83541000000002</v>
      </c>
      <c r="Y18">
        <v>177.93549329999999</v>
      </c>
      <c r="Z18">
        <v>234.3647632</v>
      </c>
      <c r="AA18">
        <v>0.627740136</v>
      </c>
      <c r="AB18">
        <v>3.2519851609999999</v>
      </c>
      <c r="AC18">
        <v>0.47643866699999998</v>
      </c>
      <c r="AD18">
        <v>0.55022432099999996</v>
      </c>
      <c r="AH18" t="s">
        <v>5</v>
      </c>
      <c r="AI18" t="s">
        <v>6</v>
      </c>
      <c r="AJ18">
        <v>0.61602208340107112</v>
      </c>
      <c r="AK18">
        <v>24.649785633768346</v>
      </c>
      <c r="AL18">
        <v>6.7629607933972477E-2</v>
      </c>
      <c r="AM18">
        <v>0.89726372576431501</v>
      </c>
      <c r="AN18">
        <v>4.5894786301019189E-2</v>
      </c>
      <c r="AO18">
        <v>6.6722647320456367</v>
      </c>
      <c r="AP18">
        <v>8.0195871826262177</v>
      </c>
      <c r="AQ18">
        <v>6.4355781921025978E-2</v>
      </c>
      <c r="AR18">
        <v>2.3305955589104838E-2</v>
      </c>
      <c r="AS18">
        <v>8.7733775886616279</v>
      </c>
      <c r="AT18">
        <f>STDEV(M7:M9)</f>
        <v>7.4165064352229429E-2</v>
      </c>
      <c r="AU18">
        <v>8.9140702480944675E-2</v>
      </c>
      <c r="AV18">
        <v>35.037176011396411</v>
      </c>
      <c r="AW18">
        <v>0.87464233701247007</v>
      </c>
      <c r="AX18">
        <v>9.6312622724588035</v>
      </c>
      <c r="AY18">
        <v>10.804802738704556</v>
      </c>
      <c r="AZ18">
        <v>2.9908038943658437</v>
      </c>
      <c r="BA18">
        <v>0.25763485413255666</v>
      </c>
      <c r="BD18">
        <v>354.22260146520432</v>
      </c>
      <c r="BE18">
        <v>59.824382411318638</v>
      </c>
      <c r="BF18">
        <v>28.017044077023574</v>
      </c>
      <c r="BG18">
        <v>65.270722576093618</v>
      </c>
      <c r="BH18">
        <v>0.15128162467927242</v>
      </c>
      <c r="BI18">
        <v>0.87910531768295963</v>
      </c>
      <c r="BJ18">
        <v>0.15302316941805624</v>
      </c>
      <c r="BK18">
        <v>0.26477869541336763</v>
      </c>
    </row>
    <row r="19" spans="1:64" x14ac:dyDescent="0.2">
      <c r="A19" t="s">
        <v>11</v>
      </c>
      <c r="B19" t="s">
        <v>6</v>
      </c>
      <c r="C19">
        <v>0.13412995874074074</v>
      </c>
      <c r="D19">
        <v>94.588866373746399</v>
      </c>
      <c r="E19">
        <v>0.56238419440234011</v>
      </c>
      <c r="F19" s="3">
        <v>1.7057967311366102</v>
      </c>
      <c r="G19" s="3">
        <v>0.37317600265314693</v>
      </c>
      <c r="H19" s="4">
        <v>27.062933309746839</v>
      </c>
      <c r="I19" s="3">
        <v>0.39137877373172092</v>
      </c>
      <c r="J19">
        <v>0.16888888888888889</v>
      </c>
      <c r="K19" s="3">
        <v>4.9713950551200349E-2</v>
      </c>
      <c r="L19" s="3">
        <v>52.665198391844683</v>
      </c>
      <c r="M19">
        <v>-2.3525466666666666</v>
      </c>
      <c r="N19">
        <v>-2.0691666670000002</v>
      </c>
      <c r="O19">
        <v>161.18295812475748</v>
      </c>
      <c r="P19">
        <v>3.9828923567464813</v>
      </c>
      <c r="Q19">
        <v>34.037158536959254</v>
      </c>
      <c r="R19">
        <v>165.01226354355089</v>
      </c>
      <c r="S19">
        <v>15.049054174203633</v>
      </c>
      <c r="T19">
        <v>1.838611767</v>
      </c>
      <c r="W19">
        <v>596.75558490000003</v>
      </c>
      <c r="X19">
        <v>229.25761660000001</v>
      </c>
      <c r="Y19">
        <v>186.92783120000001</v>
      </c>
      <c r="Z19">
        <v>258.99186259999999</v>
      </c>
      <c r="AA19">
        <v>0.76422315600000001</v>
      </c>
      <c r="AB19">
        <v>3.301805807</v>
      </c>
      <c r="AC19">
        <v>0.76504072499999998</v>
      </c>
      <c r="AD19">
        <v>0.56570704400000005</v>
      </c>
      <c r="AH19" t="s">
        <v>111</v>
      </c>
      <c r="AI19" t="s">
        <v>6</v>
      </c>
      <c r="AJ19">
        <v>3.1666527957704482</v>
      </c>
      <c r="AK19">
        <v>9.0587108405161292</v>
      </c>
      <c r="AL19">
        <v>1.1553679646306185E-2</v>
      </c>
      <c r="AM19">
        <v>0.14855474486856618</v>
      </c>
      <c r="AN19">
        <v>2.6488406859827091E-2</v>
      </c>
      <c r="AO19">
        <v>0.80960766321450472</v>
      </c>
      <c r="AP19">
        <v>0.80811207440305655</v>
      </c>
      <c r="AQ19">
        <v>2.1278575558006156E-2</v>
      </c>
      <c r="AR19">
        <v>3.4547388812345897E-2</v>
      </c>
      <c r="AS19">
        <v>19.76080987618678</v>
      </c>
      <c r="AT19">
        <v>8.9797596932294485E-2</v>
      </c>
      <c r="AU19">
        <v>0.10792980412655392</v>
      </c>
      <c r="AV19">
        <v>23.968918627403621</v>
      </c>
      <c r="AW19">
        <v>0.94213472618008476</v>
      </c>
      <c r="AX19">
        <v>4.9496922487576933</v>
      </c>
      <c r="AY19">
        <v>59.341978825774049</v>
      </c>
      <c r="AZ19">
        <v>0.78011164232172059</v>
      </c>
      <c r="BA19">
        <v>0.31506068489490752</v>
      </c>
      <c r="BD19">
        <v>263.97477360083241</v>
      </c>
      <c r="BE19">
        <v>106.26678687658563</v>
      </c>
      <c r="BF19">
        <v>41.396682497943821</v>
      </c>
      <c r="BG19">
        <v>17.115571111326062</v>
      </c>
      <c r="BH19">
        <v>0.38931917128841359</v>
      </c>
      <c r="BI19">
        <v>1.1502136442460298</v>
      </c>
      <c r="BJ19">
        <v>0.2567005532558293</v>
      </c>
      <c r="BK19">
        <v>0.26991229311410525</v>
      </c>
    </row>
    <row r="20" spans="1:64" x14ac:dyDescent="0.2">
      <c r="A20" t="s">
        <v>11</v>
      </c>
      <c r="B20" t="s">
        <v>6</v>
      </c>
      <c r="C20">
        <v>9.3698737333333337E-2</v>
      </c>
      <c r="D20">
        <v>85.065994395001823</v>
      </c>
      <c r="E20">
        <v>0.48881089818099915</v>
      </c>
      <c r="F20" s="3">
        <v>1.8223125740050914</v>
      </c>
      <c r="G20" s="3">
        <v>0.35450021990077257</v>
      </c>
      <c r="H20" s="4">
        <v>25.819072015329926</v>
      </c>
      <c r="I20" s="3">
        <v>4.8847609219126307</v>
      </c>
      <c r="J20">
        <v>0.17444444444444449</v>
      </c>
      <c r="K20" s="3">
        <v>4.8903617435034193E-2</v>
      </c>
      <c r="L20" s="3">
        <v>57.623183405648923</v>
      </c>
      <c r="M20">
        <v>-2.4087066666666668</v>
      </c>
      <c r="N20">
        <v>-2.1366666670000001</v>
      </c>
      <c r="O20">
        <v>236.1616573003827</v>
      </c>
      <c r="P20">
        <v>3.2216328908238032</v>
      </c>
      <c r="Q20">
        <v>36.564368274212832</v>
      </c>
      <c r="R20">
        <v>117.71415212925774</v>
      </c>
      <c r="S20">
        <v>11.656498145139036</v>
      </c>
      <c r="T20">
        <v>1.0730600610000001</v>
      </c>
      <c r="W20">
        <v>652.54284919999998</v>
      </c>
      <c r="X20">
        <v>327.35869589999999</v>
      </c>
      <c r="Y20">
        <v>227.62834280000001</v>
      </c>
      <c r="Z20">
        <v>388.89511229999999</v>
      </c>
      <c r="AA20">
        <v>1.0809802660000001</v>
      </c>
      <c r="AB20">
        <v>4.7521231259999999</v>
      </c>
      <c r="AC20">
        <v>0.61716282899999997</v>
      </c>
      <c r="AD20">
        <v>0.68297717999999996</v>
      </c>
      <c r="AH20" t="s">
        <v>10</v>
      </c>
      <c r="AI20" t="s">
        <v>6</v>
      </c>
      <c r="AJ20">
        <v>0.27125194890393012</v>
      </c>
      <c r="AK20">
        <v>23.812969374198683</v>
      </c>
      <c r="AL20">
        <v>2.3423056878088294E-2</v>
      </c>
      <c r="AM20">
        <v>0.11894394840757597</v>
      </c>
      <c r="AN20">
        <v>2.0267768637956964E-2</v>
      </c>
      <c r="AO20">
        <v>3.5924572633273124</v>
      </c>
      <c r="AP20">
        <v>3.4977487322169898</v>
      </c>
      <c r="AQ20">
        <v>3.8514066694303975E-2</v>
      </c>
      <c r="AR20">
        <v>2.1104502828809556E-2</v>
      </c>
      <c r="AS20">
        <v>7.6135699613246368</v>
      </c>
      <c r="AT20">
        <v>0.10582365541052002</v>
      </c>
      <c r="AU20">
        <v>0.12719189353973095</v>
      </c>
      <c r="AV20">
        <v>33.017946995137677</v>
      </c>
      <c r="AW20">
        <v>1.5998219070326691</v>
      </c>
      <c r="AX20">
        <v>4.312048197569589</v>
      </c>
      <c r="AY20">
        <v>20.091252875583635</v>
      </c>
      <c r="AZ20">
        <v>1.4964100199574166</v>
      </c>
      <c r="BA20">
        <v>0.86808905102245359</v>
      </c>
      <c r="BD20">
        <v>204.59176551496836</v>
      </c>
      <c r="BE20">
        <v>58.878808000646039</v>
      </c>
      <c r="BF20">
        <v>45.625102025333483</v>
      </c>
      <c r="BG20">
        <v>17.225561742516813</v>
      </c>
      <c r="BH20">
        <v>0.18729154725242253</v>
      </c>
      <c r="BI20">
        <v>0.1991420988485556</v>
      </c>
      <c r="BJ20">
        <v>0.23800282998069272</v>
      </c>
      <c r="BK20">
        <v>0.34019397762202674</v>
      </c>
    </row>
    <row r="21" spans="1:64" x14ac:dyDescent="0.2">
      <c r="A21" t="s">
        <v>11</v>
      </c>
      <c r="B21" t="s">
        <v>6</v>
      </c>
      <c r="C21">
        <v>0.19404799900000003</v>
      </c>
      <c r="D21">
        <v>90.403145729427649</v>
      </c>
      <c r="E21">
        <v>0.59877721611401047</v>
      </c>
      <c r="F21" s="3">
        <v>1.7052586698058159</v>
      </c>
      <c r="G21" s="3">
        <v>0.36971008401783917</v>
      </c>
      <c r="H21" s="4">
        <v>33.11503350418559</v>
      </c>
      <c r="I21" s="3">
        <v>-5.7605289388952343</v>
      </c>
      <c r="J21">
        <v>0.15111111111111111</v>
      </c>
      <c r="K21" s="3">
        <v>4.3847903745251125E-2</v>
      </c>
      <c r="L21" s="3">
        <v>48.693306440588081</v>
      </c>
      <c r="M21">
        <v>-2.1771333333333329</v>
      </c>
      <c r="N21">
        <v>-1.858333333</v>
      </c>
      <c r="O21">
        <v>167.61849185097833</v>
      </c>
      <c r="P21">
        <v>2.5543939254580939</v>
      </c>
      <c r="Q21">
        <v>26.77857150156871</v>
      </c>
      <c r="R21">
        <v>83.081113120969633</v>
      </c>
      <c r="S21">
        <v>12.284289378749321</v>
      </c>
      <c r="T21">
        <v>0.71404482300000005</v>
      </c>
      <c r="W21">
        <v>511.86055149999999</v>
      </c>
      <c r="X21">
        <v>230.1035857</v>
      </c>
      <c r="Y21">
        <v>102.2369281</v>
      </c>
      <c r="Z21">
        <v>167.7212002</v>
      </c>
      <c r="AA21">
        <v>0.50740411399999996</v>
      </c>
      <c r="AB21">
        <v>2.0056003520000001</v>
      </c>
      <c r="AC21">
        <v>0.42912182799999998</v>
      </c>
      <c r="AD21">
        <v>0.56207907899999998</v>
      </c>
      <c r="AH21" t="s">
        <v>11</v>
      </c>
      <c r="AI21" t="s">
        <v>6</v>
      </c>
      <c r="AJ21">
        <v>0.46673757567965551</v>
      </c>
      <c r="AK21">
        <v>6.3153599957649007</v>
      </c>
      <c r="AL21">
        <v>5.6020938088544803E-2</v>
      </c>
      <c r="AM21">
        <v>6.7426314889714317E-2</v>
      </c>
      <c r="AN21">
        <v>9.9342624274115689E-3</v>
      </c>
      <c r="AO21">
        <v>3.9031218643999046</v>
      </c>
      <c r="AP21">
        <v>5.3441346018304445</v>
      </c>
      <c r="AQ21">
        <v>1.5995755609875525E-2</v>
      </c>
      <c r="AR21">
        <v>3.1787677329903215E-3</v>
      </c>
      <c r="AS21">
        <v>4.4740034957647019</v>
      </c>
      <c r="AT21">
        <v>0.12079596559365617</v>
      </c>
      <c r="AU21">
        <v>0.14518745902057748</v>
      </c>
      <c r="AV21">
        <v>41.555960170663546</v>
      </c>
      <c r="AW21">
        <v>0.71476471414871634</v>
      </c>
      <c r="AX21">
        <v>5.0799555982623881</v>
      </c>
      <c r="AY21">
        <v>41.12840086014392</v>
      </c>
      <c r="AZ21">
        <v>1.8049691879883447</v>
      </c>
      <c r="BA21">
        <v>0.57440000090171983</v>
      </c>
      <c r="BD21">
        <v>70.84124791886974</v>
      </c>
      <c r="BE21">
        <v>56.396060565074279</v>
      </c>
      <c r="BF21">
        <v>63.968856475713565</v>
      </c>
      <c r="BG21">
        <v>111.14786509508679</v>
      </c>
      <c r="BH21">
        <v>0.28730955698586352</v>
      </c>
      <c r="BI21">
        <v>1.3739818203227054</v>
      </c>
      <c r="BJ21">
        <v>0.16835913773051048</v>
      </c>
      <c r="BK21">
        <v>6.8777173724167501E-2</v>
      </c>
    </row>
    <row r="22" spans="1:64" x14ac:dyDescent="0.2">
      <c r="A22" t="s">
        <v>12</v>
      </c>
      <c r="B22" t="s">
        <v>8</v>
      </c>
      <c r="C22">
        <v>4.186431292592592E-2</v>
      </c>
      <c r="D22">
        <v>282.72974712792649</v>
      </c>
      <c r="E22">
        <v>0.43653980186685537</v>
      </c>
      <c r="F22" s="3">
        <v>1.3230279244940188</v>
      </c>
      <c r="G22" s="3">
        <v>0.43048272521160297</v>
      </c>
      <c r="H22" s="4">
        <v>7.535355886911173</v>
      </c>
      <c r="I22" s="3">
        <v>33.431904854243427</v>
      </c>
      <c r="J22">
        <v>0.65222222222222237</v>
      </c>
      <c r="K22" s="3">
        <v>0.2941438878238069</v>
      </c>
      <c r="L22" s="3">
        <v>103.79024314254802</v>
      </c>
      <c r="M22">
        <v>-2.7248666666666668</v>
      </c>
      <c r="N22">
        <v>-2.516666667</v>
      </c>
      <c r="O22">
        <v>202.34840955533198</v>
      </c>
      <c r="P22">
        <v>6.3656285237540917</v>
      </c>
      <c r="Q22">
        <v>31.91536968130201</v>
      </c>
      <c r="R22">
        <v>287.99357356394415</v>
      </c>
      <c r="S22">
        <v>32.273914900129448</v>
      </c>
      <c r="T22">
        <v>7.3759106670000003</v>
      </c>
      <c r="U22">
        <v>16.861315696209349</v>
      </c>
      <c r="V22">
        <v>304.87427008279275</v>
      </c>
      <c r="W22">
        <v>230.31071470000001</v>
      </c>
      <c r="X22">
        <v>356.45161530000001</v>
      </c>
      <c r="Y22">
        <v>145.58597420000001</v>
      </c>
      <c r="Z22">
        <v>222.19720599999999</v>
      </c>
      <c r="AA22">
        <v>0.77341495000000005</v>
      </c>
      <c r="AB22">
        <v>4.2435497250000003</v>
      </c>
      <c r="AC22">
        <v>3.67113756</v>
      </c>
      <c r="AD22">
        <v>1.1308432900000001</v>
      </c>
      <c r="AH22" t="s">
        <v>14</v>
      </c>
      <c r="AI22" t="s">
        <v>6</v>
      </c>
      <c r="AJ22">
        <v>0.54611753625732684</v>
      </c>
      <c r="AK22">
        <v>5.6942318844585742</v>
      </c>
      <c r="AL22">
        <v>1.2380295051339241E-2</v>
      </c>
      <c r="AM22">
        <v>2.9979564847721938E-2</v>
      </c>
      <c r="AN22">
        <v>5.6510183501337552E-3</v>
      </c>
      <c r="AO22">
        <v>4.9913396133649437</v>
      </c>
      <c r="AP22">
        <v>5.3048824493043325</v>
      </c>
      <c r="AQ22">
        <v>1.1152699944380399E-2</v>
      </c>
      <c r="AR22">
        <v>3.9599640854911244E-3</v>
      </c>
      <c r="AS22">
        <v>4.0832673028470756</v>
      </c>
      <c r="AT22">
        <v>0.31883069058555169</v>
      </c>
      <c r="AU22">
        <v>0.31883069075733278</v>
      </c>
      <c r="AV22">
        <v>45.041821614318295</v>
      </c>
      <c r="AW22">
        <v>1.4266564631991823</v>
      </c>
      <c r="AX22">
        <v>8.9659977355362965</v>
      </c>
      <c r="AY22">
        <v>31.621803664637621</v>
      </c>
      <c r="AZ22">
        <v>2.4446192224879062</v>
      </c>
      <c r="BA22">
        <v>1.1393594294789664</v>
      </c>
      <c r="BD22">
        <v>587.74338998624648</v>
      </c>
      <c r="BE22">
        <v>15.052021151873335</v>
      </c>
      <c r="BF22">
        <v>23.711635711444696</v>
      </c>
      <c r="BG22">
        <v>166.02557038408582</v>
      </c>
      <c r="BH22">
        <v>6.3624998629059071E-2</v>
      </c>
      <c r="BI22">
        <v>0.36072806888751247</v>
      </c>
      <c r="BJ22">
        <v>0.18653251595710535</v>
      </c>
      <c r="BK22">
        <v>3.5824626029591189E-2</v>
      </c>
    </row>
    <row r="23" spans="1:64" x14ac:dyDescent="0.2">
      <c r="A23" t="s">
        <v>12</v>
      </c>
      <c r="B23" t="s">
        <v>8</v>
      </c>
      <c r="C23">
        <v>5.9362485814814819E-2</v>
      </c>
      <c r="D23">
        <v>226.64131625168815</v>
      </c>
      <c r="E23">
        <v>0.66696544740329944</v>
      </c>
      <c r="F23" s="3">
        <v>1.5639510714805345</v>
      </c>
      <c r="G23" s="3">
        <v>0.40787375043914281</v>
      </c>
      <c r="H23" s="4">
        <v>17.269754342141923</v>
      </c>
      <c r="I23" s="3">
        <v>-3.9490764712612001</v>
      </c>
      <c r="J23">
        <v>0.34</v>
      </c>
      <c r="K23" s="3">
        <v>0.14162057453531582</v>
      </c>
      <c r="L23" s="3">
        <v>65.741500796938254</v>
      </c>
      <c r="M23">
        <v>-2.5570800000000005</v>
      </c>
      <c r="N23">
        <v>-2.3149999999999999</v>
      </c>
      <c r="O23">
        <v>215.25270730691727</v>
      </c>
      <c r="P23">
        <v>4.1140731329992066</v>
      </c>
      <c r="Q23">
        <v>32.385085640876561</v>
      </c>
      <c r="R23">
        <v>216.66677014845439</v>
      </c>
      <c r="S23">
        <v>28.562469898341391</v>
      </c>
      <c r="T23">
        <v>1.9670716100000001</v>
      </c>
      <c r="U23">
        <v>16.281134604010969</v>
      </c>
      <c r="V23">
        <v>215.93768371337646</v>
      </c>
      <c r="W23">
        <v>201.1659114</v>
      </c>
      <c r="X23">
        <v>246.21519660000001</v>
      </c>
      <c r="Y23">
        <v>182.4135599</v>
      </c>
      <c r="Z23">
        <v>196.08533919999999</v>
      </c>
      <c r="AA23">
        <v>1.114430764</v>
      </c>
      <c r="AB23">
        <v>3.0367225200000001</v>
      </c>
      <c r="AC23">
        <v>4.1420352139999999</v>
      </c>
      <c r="AD23">
        <v>1.3161427320000001</v>
      </c>
      <c r="AH23" t="s">
        <v>15</v>
      </c>
      <c r="AI23" t="s">
        <v>6</v>
      </c>
      <c r="AJ23">
        <v>2.1906351860984392</v>
      </c>
      <c r="AK23">
        <v>32.026309779594641</v>
      </c>
      <c r="AL23">
        <v>5.0334177511663698E-2</v>
      </c>
      <c r="AM23">
        <v>0.31383619096820919</v>
      </c>
      <c r="AN23">
        <v>4.7201648480989906E-2</v>
      </c>
      <c r="AO23">
        <v>1.6394540935502326</v>
      </c>
      <c r="AP23">
        <v>4.1629360455784612</v>
      </c>
      <c r="AQ23">
        <v>4.5430043901463567E-2</v>
      </c>
      <c r="AR23">
        <v>1.0968400957604657E-2</v>
      </c>
      <c r="AS23">
        <v>17.005730917234594</v>
      </c>
      <c r="AT23">
        <v>0.20986988914651472</v>
      </c>
      <c r="AU23">
        <v>0.20986988951534988</v>
      </c>
      <c r="AV23">
        <v>27.544342907354427</v>
      </c>
      <c r="AW23">
        <v>0.92026289027613939</v>
      </c>
      <c r="AX23">
        <v>14.503394082172823</v>
      </c>
      <c r="AY23">
        <v>59.854084891638095</v>
      </c>
      <c r="AZ23">
        <v>4.1734283809584669</v>
      </c>
      <c r="BA23">
        <v>0.30997510241313242</v>
      </c>
      <c r="BD23">
        <v>121.61888250256908</v>
      </c>
      <c r="BE23">
        <v>86.49381902197436</v>
      </c>
      <c r="BF23">
        <v>46.443120824390604</v>
      </c>
      <c r="BG23">
        <v>114.95263818017892</v>
      </c>
      <c r="BH23">
        <v>0.10823373692562563</v>
      </c>
      <c r="BI23">
        <v>0.64282219007086028</v>
      </c>
      <c r="BJ23">
        <v>6.5287700689062395E-2</v>
      </c>
      <c r="BK23">
        <v>0.10230788699620734</v>
      </c>
    </row>
    <row r="24" spans="1:64" x14ac:dyDescent="0.2">
      <c r="A24" t="s">
        <v>12</v>
      </c>
      <c r="B24" t="s">
        <v>8</v>
      </c>
      <c r="C24">
        <v>6.532722896296296E-2</v>
      </c>
      <c r="D24">
        <v>220.03828274554462</v>
      </c>
      <c r="E24">
        <v>0.43453542070135215</v>
      </c>
      <c r="F24" s="3">
        <v>1.626096649743846</v>
      </c>
      <c r="G24" s="3">
        <v>0.40165896040114785</v>
      </c>
      <c r="H24" s="4">
        <v>19.722867297165937</v>
      </c>
      <c r="I24" s="3">
        <v>31.971123334038502</v>
      </c>
      <c r="J24">
        <v>0.50222222222222224</v>
      </c>
      <c r="K24" s="3">
        <v>0.22433037812431389</v>
      </c>
      <c r="L24" s="3">
        <v>104.04219246685092</v>
      </c>
      <c r="M24">
        <v>-2.5688666666666662</v>
      </c>
      <c r="N24">
        <v>-2.329166667</v>
      </c>
      <c r="O24">
        <v>166.223832405823</v>
      </c>
      <c r="P24">
        <v>3.5785384949713848</v>
      </c>
      <c r="Q24">
        <v>27.019139125215343</v>
      </c>
      <c r="R24">
        <v>188.73267996061489</v>
      </c>
      <c r="S24">
        <v>30.955641347779881</v>
      </c>
      <c r="T24">
        <v>4.4866982560000004</v>
      </c>
      <c r="U24">
        <v>8.3032916817100411</v>
      </c>
      <c r="V24">
        <v>208.20960207219218</v>
      </c>
      <c r="W24">
        <v>231.0912788</v>
      </c>
      <c r="X24">
        <v>217.7631154</v>
      </c>
      <c r="Y24">
        <v>200.88893730000001</v>
      </c>
      <c r="Z24">
        <v>159.25775350000001</v>
      </c>
      <c r="AA24">
        <v>1.0584052900000001</v>
      </c>
      <c r="AB24">
        <v>2.3816398539999999</v>
      </c>
      <c r="AC24">
        <v>0.73957678000000004</v>
      </c>
      <c r="AD24">
        <v>1.081707024</v>
      </c>
      <c r="AH24" t="s">
        <v>7</v>
      </c>
      <c r="AI24" t="s">
        <v>8</v>
      </c>
      <c r="AJ24">
        <v>0.10454039008089873</v>
      </c>
      <c r="AK24">
        <v>26.443237653345236</v>
      </c>
      <c r="AL24">
        <v>5.0683633690193949E-2</v>
      </c>
      <c r="AM24">
        <v>0.24859368824186232</v>
      </c>
      <c r="AN24">
        <v>4.442502568176887E-2</v>
      </c>
      <c r="AO24">
        <v>2.2642700346829905</v>
      </c>
      <c r="AP24">
        <v>2.6235412232354336</v>
      </c>
      <c r="AQ24">
        <v>4.0635385662021649E-2</v>
      </c>
      <c r="AR24">
        <v>4.0433228145008944E-2</v>
      </c>
      <c r="AS24">
        <v>12.314456714009642</v>
      </c>
      <c r="AT24">
        <v>0.14358753107941319</v>
      </c>
      <c r="AU24">
        <v>0.17258116698034087</v>
      </c>
      <c r="AV24">
        <v>9.1901813376564494</v>
      </c>
      <c r="AW24">
        <v>0.19862825368480491</v>
      </c>
      <c r="AX24">
        <v>2.9634467539962337</v>
      </c>
      <c r="AY24">
        <v>50.498962996731748</v>
      </c>
      <c r="AZ24">
        <v>10.472095446234691</v>
      </c>
      <c r="BA24">
        <v>0.17043646794279929</v>
      </c>
      <c r="BB24">
        <v>5.964051412529578</v>
      </c>
      <c r="BC24">
        <v>79.164662528987364</v>
      </c>
      <c r="BD24">
        <v>143.16611770119204</v>
      </c>
      <c r="BE24">
        <v>56.977829713916869</v>
      </c>
      <c r="BF24">
        <v>60.360482028590091</v>
      </c>
      <c r="BG24">
        <v>15.188480018928292</v>
      </c>
      <c r="BH24">
        <v>0.29696470620989995</v>
      </c>
      <c r="BI24">
        <v>0.63279590997568813</v>
      </c>
      <c r="BJ24">
        <v>3.5446422086298134E-2</v>
      </c>
      <c r="BK24">
        <v>0.10163093990500488</v>
      </c>
    </row>
    <row r="25" spans="1:64" x14ac:dyDescent="0.2">
      <c r="A25" t="s">
        <v>13</v>
      </c>
      <c r="B25" t="s">
        <v>8</v>
      </c>
      <c r="C25">
        <v>0.12462639351851852</v>
      </c>
      <c r="D25">
        <v>263.84854122394097</v>
      </c>
      <c r="E25">
        <v>0.47703927847616406</v>
      </c>
      <c r="F25" s="3">
        <v>1.4483261037941366</v>
      </c>
      <c r="G25" s="3">
        <v>0.40856346297718543</v>
      </c>
      <c r="H25" s="4">
        <v>23.544169075841801</v>
      </c>
      <c r="I25" s="3">
        <v>8.5416781467399172</v>
      </c>
      <c r="J25">
        <v>0.55222222222222217</v>
      </c>
      <c r="K25" s="3">
        <v>0.11875280715568022</v>
      </c>
      <c r="L25" s="3">
        <v>45.149492428639199</v>
      </c>
      <c r="M25">
        <v>-3.0195333333333334</v>
      </c>
      <c r="N25">
        <v>-2.8708333330000002</v>
      </c>
      <c r="O25">
        <v>324.53186309522005</v>
      </c>
      <c r="P25">
        <v>5.7747775950786737</v>
      </c>
      <c r="Q25">
        <v>32.557528760209351</v>
      </c>
      <c r="R25">
        <v>127.91515079374062</v>
      </c>
      <c r="S25">
        <v>36.649439112743288</v>
      </c>
      <c r="T25">
        <v>6.1072832100000003</v>
      </c>
      <c r="U25">
        <v>10.499379447348806</v>
      </c>
      <c r="V25">
        <v>225.02950609644779</v>
      </c>
      <c r="W25">
        <v>215.26472910000001</v>
      </c>
      <c r="X25">
        <v>169.97347239999999</v>
      </c>
      <c r="Y25">
        <v>142.6299138</v>
      </c>
      <c r="Z25">
        <v>151.49809500000001</v>
      </c>
      <c r="AA25">
        <v>0.85831431199999997</v>
      </c>
      <c r="AB25">
        <v>2.8703683999999998</v>
      </c>
      <c r="AC25">
        <v>0.59632177099999994</v>
      </c>
      <c r="AD25">
        <v>0.83339158800000002</v>
      </c>
      <c r="AH25" t="s">
        <v>13</v>
      </c>
      <c r="AI25" t="s">
        <v>8</v>
      </c>
      <c r="AJ25">
        <v>0.2439454934895943</v>
      </c>
      <c r="AK25">
        <v>66.727690015615025</v>
      </c>
      <c r="AL25">
        <v>3.0605775969351268E-2</v>
      </c>
      <c r="AM25">
        <v>0.63055860824604026</v>
      </c>
      <c r="AN25">
        <v>4.5907132980809937E-2</v>
      </c>
      <c r="AO25">
        <v>2.6238324848957455</v>
      </c>
      <c r="AP25">
        <v>7.1324186029389756</v>
      </c>
      <c r="AQ25">
        <v>0.1234346430752373</v>
      </c>
      <c r="AR25">
        <v>3.8877530354678294E-2</v>
      </c>
      <c r="AS25">
        <v>9.0083370074044797</v>
      </c>
      <c r="AT25">
        <v>0.18353612896930413</v>
      </c>
      <c r="AU25">
        <v>0.22059630866551666</v>
      </c>
      <c r="AV25">
        <v>34.221226740227976</v>
      </c>
      <c r="AW25">
        <v>1.4249992357573784</v>
      </c>
      <c r="AX25">
        <v>7.1354998127556524</v>
      </c>
      <c r="AY25">
        <v>40.762378600231877</v>
      </c>
      <c r="AZ25">
        <v>12.090465087891712</v>
      </c>
      <c r="BA25">
        <v>1.3172845594729465</v>
      </c>
      <c r="BB25">
        <v>3.6395902572534617</v>
      </c>
      <c r="BC25">
        <v>98.948519548863402</v>
      </c>
      <c r="BD25">
        <v>92.152638319442133</v>
      </c>
      <c r="BE25">
        <v>79.875412987394952</v>
      </c>
      <c r="BF25">
        <v>21.886139095270298</v>
      </c>
      <c r="BG25">
        <v>28.088605433774529</v>
      </c>
      <c r="BH25">
        <v>0.19056360288345323</v>
      </c>
      <c r="BI25">
        <v>0.42013004358072398</v>
      </c>
      <c r="BJ25">
        <v>0.10979965306954675</v>
      </c>
      <c r="BK25">
        <v>7.2371868822787011E-2</v>
      </c>
    </row>
    <row r="26" spans="1:64" x14ac:dyDescent="0.2">
      <c r="A26" t="s">
        <v>13</v>
      </c>
      <c r="B26" t="s">
        <v>8</v>
      </c>
      <c r="C26">
        <v>0.15312394703703705</v>
      </c>
      <c r="D26">
        <v>388.13248066517235</v>
      </c>
      <c r="E26">
        <v>0.51817192871168505</v>
      </c>
      <c r="F26" s="3">
        <v>1.3226452098541155</v>
      </c>
      <c r="G26" s="3">
        <v>0.43056124865668854</v>
      </c>
      <c r="H26" s="4">
        <v>26.898141260649567</v>
      </c>
      <c r="I26" s="3">
        <v>16.105118437266732</v>
      </c>
      <c r="J26">
        <v>0.75</v>
      </c>
      <c r="K26" s="3">
        <v>0.15232038504627216</v>
      </c>
      <c r="L26" s="3">
        <v>39.231949630644699</v>
      </c>
      <c r="M26">
        <v>-2.7012933333333335</v>
      </c>
      <c r="N26">
        <v>-2.4883333329999999</v>
      </c>
      <c r="O26">
        <v>392.97280485000266</v>
      </c>
      <c r="P26">
        <v>7.9667615959053784</v>
      </c>
      <c r="Q26">
        <v>46.679489638956717</v>
      </c>
      <c r="R26">
        <v>184.64742491138131</v>
      </c>
      <c r="S26">
        <v>36.47826547918779</v>
      </c>
      <c r="T26">
        <v>7.9625064969999997</v>
      </c>
      <c r="U26">
        <v>15.064793359283213</v>
      </c>
      <c r="V26">
        <v>422.81206881138723</v>
      </c>
      <c r="W26">
        <v>398.27099900000002</v>
      </c>
      <c r="X26">
        <v>327.5068574</v>
      </c>
      <c r="Y26">
        <v>108.8815577</v>
      </c>
      <c r="Z26">
        <v>133.6385635</v>
      </c>
      <c r="AA26">
        <v>1.1094664809999999</v>
      </c>
      <c r="AB26">
        <v>3.6928183040000002</v>
      </c>
      <c r="AC26">
        <v>0.57241216500000003</v>
      </c>
      <c r="AD26">
        <v>0.97218887399999998</v>
      </c>
      <c r="AH26" t="s">
        <v>12</v>
      </c>
      <c r="AI26" t="s">
        <v>8</v>
      </c>
      <c r="AJ26" s="2">
        <v>0.14299810700000001</v>
      </c>
      <c r="AK26">
        <v>53.333092385509715</v>
      </c>
      <c r="AL26">
        <v>0.13361868193820003</v>
      </c>
      <c r="AM26">
        <v>0.16008158746720522</v>
      </c>
      <c r="AN26">
        <v>1.5169040693281234E-2</v>
      </c>
      <c r="AO26">
        <v>6.4460803442918619</v>
      </c>
      <c r="AP26">
        <v>21.172830079924569</v>
      </c>
      <c r="AQ26">
        <v>0.14509681740049682</v>
      </c>
      <c r="AR26">
        <v>7.6352470864614816E-2</v>
      </c>
      <c r="AS26">
        <v>22.04054315323754</v>
      </c>
      <c r="AT26">
        <v>9.3654765871099027E-2</v>
      </c>
      <c r="AU26">
        <v>0.11256582447082372</v>
      </c>
      <c r="AV26">
        <v>25.414354699524875</v>
      </c>
      <c r="AW26">
        <v>1.4789731716467422</v>
      </c>
      <c r="AX26">
        <v>2.9717303811632645</v>
      </c>
      <c r="AY26">
        <v>51.186833070992215</v>
      </c>
      <c r="AZ26">
        <v>1.8814860592330303</v>
      </c>
      <c r="BA26">
        <v>2.7065231920677126</v>
      </c>
      <c r="BB26">
        <v>4.7823000537641933</v>
      </c>
      <c r="BC26">
        <v>53.717622314123894</v>
      </c>
      <c r="BD26">
        <v>17.056555209727446</v>
      </c>
      <c r="BE26">
        <v>73.253087462719861</v>
      </c>
      <c r="BF26">
        <v>28.154420512011839</v>
      </c>
      <c r="BG26">
        <v>31.621393963769684</v>
      </c>
      <c r="BH26">
        <v>0.18287068884338398</v>
      </c>
      <c r="BI26">
        <v>0.94448165411413332</v>
      </c>
      <c r="BJ26">
        <v>1.8435706569261481</v>
      </c>
      <c r="BK26">
        <v>0.12363276064444209</v>
      </c>
    </row>
    <row r="27" spans="1:64" x14ac:dyDescent="0.2">
      <c r="A27" t="s">
        <v>13</v>
      </c>
      <c r="B27" t="s">
        <v>8</v>
      </c>
      <c r="C27">
        <v>0.16969081951851853</v>
      </c>
      <c r="D27">
        <v>269.39224984657022</v>
      </c>
      <c r="E27">
        <v>0.53686397061944002</v>
      </c>
      <c r="F27" s="3">
        <v>2.4722081190808778</v>
      </c>
      <c r="G27" s="3">
        <v>0.34236476748380129</v>
      </c>
      <c r="H27" s="4">
        <v>28.716386729106052</v>
      </c>
      <c r="I27" s="3">
        <v>1.8491458789966237</v>
      </c>
      <c r="J27">
        <v>0.50444444444444436</v>
      </c>
      <c r="K27" s="3">
        <v>7.4796984764089386E-2</v>
      </c>
      <c r="L27" s="3">
        <v>27.453441011187163</v>
      </c>
      <c r="M27">
        <v>-2.7019866666666665</v>
      </c>
      <c r="N27">
        <v>-2.4891666670000001</v>
      </c>
      <c r="O27">
        <v>358.35838269755061</v>
      </c>
      <c r="P27">
        <v>5.2933435050468525</v>
      </c>
      <c r="Q27">
        <v>37.837010269509285</v>
      </c>
      <c r="R27">
        <v>206.98435810009698</v>
      </c>
      <c r="S27">
        <v>57.504627420467635</v>
      </c>
      <c r="T27">
        <v>5.4149177699999997</v>
      </c>
      <c r="U27">
        <v>17.692035342115645</v>
      </c>
      <c r="V27">
        <v>329.7493359154754</v>
      </c>
      <c r="W27">
        <v>287.85080479999999</v>
      </c>
      <c r="X27">
        <v>271.71121749999998</v>
      </c>
      <c r="Y27">
        <v>149.89689559999999</v>
      </c>
      <c r="Z27">
        <v>188.69518819999999</v>
      </c>
      <c r="AA27">
        <v>1.2321551770000001</v>
      </c>
      <c r="AB27">
        <v>3.132563566</v>
      </c>
      <c r="AC27">
        <v>0.77341495000000005</v>
      </c>
      <c r="AD27">
        <v>0.86722975800000002</v>
      </c>
      <c r="AH27" t="s">
        <v>16</v>
      </c>
      <c r="AI27" t="s">
        <v>8</v>
      </c>
      <c r="AJ27">
        <v>3.3648979951517916E-5</v>
      </c>
      <c r="AK27">
        <v>59.471622992509992</v>
      </c>
      <c r="AL27">
        <v>1.7510300543044487E-2</v>
      </c>
      <c r="AM27">
        <v>0.24432294535075355</v>
      </c>
      <c r="AN27">
        <v>4.0049676572784097E-2</v>
      </c>
      <c r="AO27">
        <v>0.37513600921949186</v>
      </c>
      <c r="AP27">
        <v>3.2283472421078629</v>
      </c>
      <c r="AQ27">
        <v>0.11811969934979359</v>
      </c>
      <c r="AR27">
        <v>7.877956381295835E-2</v>
      </c>
      <c r="AS27">
        <v>52.665867570047602</v>
      </c>
      <c r="AT27">
        <v>0.16042983362297769</v>
      </c>
      <c r="AU27">
        <v>0.16042983362297769</v>
      </c>
      <c r="AV27">
        <v>74.998489378688078</v>
      </c>
      <c r="AW27">
        <v>0.6015747013605518</v>
      </c>
      <c r="AX27">
        <v>4.4387110451573211</v>
      </c>
      <c r="AY27">
        <v>42.713045375513943</v>
      </c>
      <c r="AZ27">
        <v>15.71650851946994</v>
      </c>
      <c r="BA27">
        <v>1.9058967975472749</v>
      </c>
      <c r="BB27">
        <v>5.1510419180985485</v>
      </c>
      <c r="BC27">
        <v>106.6762993897058</v>
      </c>
      <c r="BD27">
        <v>124.47098465552619</v>
      </c>
      <c r="BE27">
        <v>25.528131719023548</v>
      </c>
      <c r="BF27">
        <v>19.793483163990263</v>
      </c>
      <c r="BG27">
        <v>31.535239831080688</v>
      </c>
      <c r="BH27">
        <v>0.704949866796583</v>
      </c>
      <c r="BI27">
        <v>0.12348690400380809</v>
      </c>
      <c r="BJ27">
        <v>0.35130615380157393</v>
      </c>
      <c r="BK27">
        <v>0.30967058602774744</v>
      </c>
      <c r="BL27" s="6"/>
    </row>
    <row r="28" spans="1:64" x14ac:dyDescent="0.2">
      <c r="A28" t="s">
        <v>14</v>
      </c>
      <c r="B28" t="s">
        <v>6</v>
      </c>
      <c r="C28">
        <v>0.22440098488888888</v>
      </c>
      <c r="D28">
        <v>117.42390941518526</v>
      </c>
      <c r="E28">
        <v>0.41265094630624205</v>
      </c>
      <c r="F28" s="3">
        <v>1.3153192186201921</v>
      </c>
      <c r="G28" s="3">
        <v>0.43252097129814687</v>
      </c>
      <c r="H28" s="4">
        <v>24.767698887257609</v>
      </c>
      <c r="I28" s="3">
        <v>34.977416440831085</v>
      </c>
      <c r="J28">
        <v>0.28444444444444444</v>
      </c>
      <c r="K28" s="3">
        <v>4.99023630479003E-2</v>
      </c>
      <c r="L28" s="3">
        <v>42.026467271056866</v>
      </c>
      <c r="M28">
        <v>-2.6444399999999999</v>
      </c>
      <c r="N28">
        <v>-2.42</v>
      </c>
      <c r="O28">
        <v>115.86959539071435</v>
      </c>
      <c r="P28">
        <v>5.6381641475304276</v>
      </c>
      <c r="Q28">
        <v>54.216104076606271</v>
      </c>
      <c r="R28">
        <v>141.69502611112813</v>
      </c>
      <c r="S28">
        <v>12.695322480097289</v>
      </c>
      <c r="T28">
        <v>2.1459157289999999</v>
      </c>
      <c r="W28">
        <v>1466.456336</v>
      </c>
      <c r="X28">
        <v>261.59243420000001</v>
      </c>
      <c r="Y28">
        <v>145.72600449999999</v>
      </c>
      <c r="Z28">
        <v>329.39528810000002</v>
      </c>
      <c r="AA28">
        <v>0.627740136</v>
      </c>
      <c r="AB28">
        <v>3.4814667199999998</v>
      </c>
      <c r="AC28">
        <v>0.76917967099999995</v>
      </c>
      <c r="AD28">
        <v>0.74010485299999995</v>
      </c>
      <c r="AH28" s="10"/>
      <c r="AI28" s="10"/>
      <c r="AJ28" s="8" t="s">
        <v>18</v>
      </c>
      <c r="AK28" s="9" t="s">
        <v>18</v>
      </c>
      <c r="AL28" s="9" t="s">
        <v>18</v>
      </c>
      <c r="AM28" s="9" t="s">
        <v>18</v>
      </c>
      <c r="AN28" s="9" t="s">
        <v>18</v>
      </c>
      <c r="AO28" s="9" t="s">
        <v>18</v>
      </c>
      <c r="AP28" s="9" t="s">
        <v>18</v>
      </c>
      <c r="AQ28" s="8" t="s">
        <v>18</v>
      </c>
      <c r="AR28" s="9" t="s">
        <v>18</v>
      </c>
      <c r="AS28" s="9" t="s">
        <v>18</v>
      </c>
      <c r="AT28" s="9" t="s">
        <v>18</v>
      </c>
      <c r="AU28" s="9" t="s">
        <v>18</v>
      </c>
      <c r="AV28" s="9" t="s">
        <v>18</v>
      </c>
      <c r="AW28" s="9" t="s">
        <v>18</v>
      </c>
      <c r="AX28" s="9" t="s">
        <v>18</v>
      </c>
      <c r="AY28" s="9" t="s">
        <v>18</v>
      </c>
      <c r="AZ28" s="9" t="s">
        <v>18</v>
      </c>
      <c r="BA28" s="9" t="s">
        <v>18</v>
      </c>
      <c r="BB28" s="9"/>
      <c r="BC28" s="9"/>
      <c r="BD28" s="9" t="s">
        <v>18</v>
      </c>
      <c r="BE28" s="9" t="s">
        <v>18</v>
      </c>
      <c r="BF28" s="9" t="s">
        <v>18</v>
      </c>
      <c r="BG28" s="9" t="s">
        <v>18</v>
      </c>
      <c r="BH28" s="9" t="s">
        <v>18</v>
      </c>
      <c r="BI28" s="9" t="s">
        <v>18</v>
      </c>
      <c r="BJ28" s="9" t="s">
        <v>18</v>
      </c>
      <c r="BK28" s="9" t="s">
        <v>18</v>
      </c>
    </row>
    <row r="29" spans="1:64" x14ac:dyDescent="0.2">
      <c r="A29" t="s">
        <v>14</v>
      </c>
      <c r="B29" t="s">
        <v>6</v>
      </c>
      <c r="C29">
        <v>0.22969428374074077</v>
      </c>
      <c r="D29">
        <v>119.89545032451547</v>
      </c>
      <c r="E29">
        <v>0.4101705251889764</v>
      </c>
      <c r="F29" s="3">
        <v>1.2931845528404444</v>
      </c>
      <c r="G29" s="3">
        <v>0.43647631566856582</v>
      </c>
      <c r="H29" s="4">
        <v>31.060582112665131</v>
      </c>
      <c r="I29" s="3">
        <v>26.625925854300021</v>
      </c>
      <c r="J29">
        <v>0.29222222222222222</v>
      </c>
      <c r="K29" s="3">
        <v>4.9162675560181397E-2</v>
      </c>
      <c r="L29" s="3">
        <v>40.393311778655686</v>
      </c>
      <c r="M29">
        <v>-2.3539333333333334</v>
      </c>
      <c r="N29">
        <v>-2.0708333329999999</v>
      </c>
      <c r="O29">
        <v>135.0290917085338</v>
      </c>
      <c r="P29">
        <v>3.6871365647770591</v>
      </c>
      <c r="Q29">
        <v>55.85093662813869</v>
      </c>
      <c r="R29">
        <v>185.58880338473804</v>
      </c>
      <c r="S29">
        <v>17.073714116360588</v>
      </c>
      <c r="T29">
        <v>2.9680841280000001</v>
      </c>
      <c r="W29">
        <v>1755.4386930000001</v>
      </c>
      <c r="X29">
        <v>290.7313686</v>
      </c>
      <c r="Y29">
        <v>161.36076610000001</v>
      </c>
      <c r="Z29">
        <v>571.18577970000001</v>
      </c>
      <c r="AA29">
        <v>0.61317717800000004</v>
      </c>
      <c r="AB29">
        <v>3.6081389050000001</v>
      </c>
      <c r="AC29">
        <v>0.79426883699999995</v>
      </c>
      <c r="AD29">
        <v>0.67439269899999998</v>
      </c>
      <c r="AH29" t="s">
        <v>5</v>
      </c>
      <c r="AI29" t="s">
        <v>6</v>
      </c>
      <c r="AJ29">
        <v>0.35566051558983547</v>
      </c>
      <c r="AK29">
        <v>14.231560367580363</v>
      </c>
      <c r="AL29">
        <v>3.9045972336148968E-2</v>
      </c>
      <c r="AM29">
        <v>0.51803545347517022</v>
      </c>
      <c r="AN29">
        <v>2.6497367218698348E-2</v>
      </c>
      <c r="AO29">
        <v>3.8522338381921402</v>
      </c>
      <c r="AP29">
        <v>4.6301108175264432</v>
      </c>
      <c r="AQ29">
        <v>3.7155828006764785E-2</v>
      </c>
      <c r="AR29">
        <v>1.3455699729741899E-2</v>
      </c>
      <c r="AS29">
        <v>5.0653119112552192</v>
      </c>
      <c r="AT29">
        <f>AT18/1.732050808</f>
        <v>4.2819219857567495E-2</v>
      </c>
      <c r="AU29">
        <v>5.1465408560315555E-2</v>
      </c>
      <c r="AV29">
        <v>20.228722996788907</v>
      </c>
      <c r="AW29">
        <v>0.50497498859310019</v>
      </c>
      <c r="AX29">
        <v>5.5606118642558915</v>
      </c>
      <c r="AY29">
        <v>6.2381557681791486</v>
      </c>
      <c r="AZ29">
        <v>1.7267414330756996</v>
      </c>
      <c r="BA29">
        <v>0.14874555234903747</v>
      </c>
      <c r="BD29">
        <v>204.51051425808075</v>
      </c>
      <c r="BE29">
        <v>34.539623280680708</v>
      </c>
      <c r="BF29">
        <v>16.175647935740908</v>
      </c>
      <c r="BG29">
        <v>37.684069240129134</v>
      </c>
      <c r="BH29">
        <v>8.7342486710281539E-2</v>
      </c>
      <c r="BI29">
        <v>0.50755169168395409</v>
      </c>
      <c r="BJ29">
        <v>8.8347968033773885E-2</v>
      </c>
      <c r="BK29">
        <v>0.15287005103453502</v>
      </c>
    </row>
    <row r="30" spans="1:64" x14ac:dyDescent="0.2">
      <c r="A30" t="s">
        <v>14</v>
      </c>
      <c r="B30" t="s">
        <v>6</v>
      </c>
      <c r="C30">
        <v>0.28894506129629632</v>
      </c>
      <c r="D30">
        <v>115.25490704687161</v>
      </c>
      <c r="E30">
        <v>0.39007530160659837</v>
      </c>
      <c r="F30" s="3">
        <v>1.3525102047384483</v>
      </c>
      <c r="G30" s="3">
        <v>0.42532975787145172</v>
      </c>
      <c r="H30" s="4">
        <v>34.625334800633659</v>
      </c>
      <c r="I30" s="3">
        <v>25.134680134680131</v>
      </c>
      <c r="J30">
        <v>0.29555555555555557</v>
      </c>
      <c r="K30" s="3">
        <v>5.6361398677007013E-2</v>
      </c>
      <c r="L30" s="3">
        <v>48.139450690812602</v>
      </c>
      <c r="M30">
        <v>-2.1147333333333331</v>
      </c>
      <c r="N30">
        <v>-1.7833333330000001</v>
      </c>
      <c r="O30">
        <v>201.67914322562868</v>
      </c>
      <c r="P30">
        <v>2.8595517674832145</v>
      </c>
      <c r="Q30">
        <v>39.568629855596775</v>
      </c>
      <c r="R30">
        <v>124.21073877630275</v>
      </c>
      <c r="S30">
        <v>13.000173733533636</v>
      </c>
      <c r="T30">
        <v>0.71649753199999999</v>
      </c>
      <c r="W30">
        <v>624.18828580000002</v>
      </c>
      <c r="X30">
        <v>282.71032860000003</v>
      </c>
      <c r="Y30">
        <v>114.7698031</v>
      </c>
      <c r="Z30">
        <v>253.19540789999999</v>
      </c>
      <c r="AA30">
        <v>0.510980981</v>
      </c>
      <c r="AB30">
        <v>2.9297094559999999</v>
      </c>
      <c r="AC30">
        <v>0.459371902</v>
      </c>
      <c r="AD30">
        <v>0.73198025600000005</v>
      </c>
      <c r="AH30" t="s">
        <v>111</v>
      </c>
      <c r="AI30" t="s">
        <v>6</v>
      </c>
      <c r="AJ30">
        <v>1.8282678436130773</v>
      </c>
      <c r="AK30">
        <v>5.2300491409811629</v>
      </c>
      <c r="AL30">
        <v>6.6705200522652244E-3</v>
      </c>
      <c r="AM30">
        <v>8.5768121917914414E-2</v>
      </c>
      <c r="AN30">
        <v>1.5293088827118915E-2</v>
      </c>
      <c r="AO30">
        <v>0.4674272021785314</v>
      </c>
      <c r="AP30">
        <v>0.46656372357585968</v>
      </c>
      <c r="AQ30">
        <v>1.2285191323328752E-2</v>
      </c>
      <c r="AR30">
        <v>1.9945944225641846E-2</v>
      </c>
      <c r="AS30">
        <v>11.408908898581673</v>
      </c>
      <c r="AT30">
        <v>5.1844666748537133E-2</v>
      </c>
      <c r="AU30">
        <v>6.2313301450539156E-2</v>
      </c>
      <c r="AV30">
        <v>13.8384616182712</v>
      </c>
      <c r="AW30">
        <v>0.54394173763757436</v>
      </c>
      <c r="AX30">
        <v>2.8577061515147499</v>
      </c>
      <c r="AY30">
        <v>34.261107440777828</v>
      </c>
      <c r="AZ30">
        <v>0.45039766658029845</v>
      </c>
      <c r="BA30">
        <v>0.1819003711898661</v>
      </c>
      <c r="BD30">
        <v>152.40590655977593</v>
      </c>
      <c r="BE30">
        <v>61.353157993841954</v>
      </c>
      <c r="BF30">
        <v>23.900385777796316</v>
      </c>
      <c r="BG30">
        <v>9.881679585998647</v>
      </c>
      <c r="BH30">
        <v>0.22477352828809949</v>
      </c>
      <c r="BI30">
        <v>0.6640761569657313</v>
      </c>
      <c r="BJ30">
        <v>0.14820613348648909</v>
      </c>
      <c r="BK30">
        <v>0.1558339350482294</v>
      </c>
    </row>
    <row r="31" spans="1:64" x14ac:dyDescent="0.2">
      <c r="A31" t="s">
        <v>15</v>
      </c>
      <c r="B31" t="s">
        <v>6</v>
      </c>
      <c r="C31">
        <v>0.5464415594444445</v>
      </c>
      <c r="D31">
        <v>161.48582793400419</v>
      </c>
      <c r="E31">
        <v>0.45617792027514908</v>
      </c>
      <c r="F31" s="3">
        <v>1.2902803573753696</v>
      </c>
      <c r="G31" s="3">
        <v>0.43681233856589269</v>
      </c>
      <c r="H31" s="4">
        <v>28.710598313812408</v>
      </c>
      <c r="I31" s="3">
        <v>35.357338337633905</v>
      </c>
      <c r="J31">
        <v>0.3544444444444444</v>
      </c>
      <c r="K31" s="3">
        <v>4.4718122218451124E-2</v>
      </c>
      <c r="L31" s="3">
        <v>28.574008176249624</v>
      </c>
      <c r="M31">
        <v>-2.3518533333333331</v>
      </c>
      <c r="N31">
        <v>-2.068333333</v>
      </c>
      <c r="O31">
        <v>164.64519057272625</v>
      </c>
      <c r="P31">
        <v>4.0884610274805571</v>
      </c>
      <c r="Q31">
        <v>91.052007644275477</v>
      </c>
      <c r="R31">
        <v>226.4773482130995</v>
      </c>
      <c r="S31">
        <v>22.352760830241898</v>
      </c>
      <c r="T31">
        <v>2.6560791410000002</v>
      </c>
      <c r="W31">
        <v>2255.6853019999999</v>
      </c>
      <c r="X31">
        <v>304.36087020000002</v>
      </c>
      <c r="Y31">
        <v>205.445154</v>
      </c>
      <c r="Z31">
        <v>628.4296865</v>
      </c>
      <c r="AA31">
        <v>0.45988288300000002</v>
      </c>
      <c r="AB31">
        <v>3.2053836960000002</v>
      </c>
      <c r="AC31">
        <v>0.51675506599999999</v>
      </c>
      <c r="AD31">
        <v>0.62145506900000003</v>
      </c>
      <c r="AH31" t="s">
        <v>10</v>
      </c>
      <c r="AI31" t="s">
        <v>6</v>
      </c>
      <c r="AJ31">
        <v>0.15660738567891369</v>
      </c>
      <c r="AK31">
        <v>13.748424274975818</v>
      </c>
      <c r="AL31">
        <v>1.352330819044212E-2</v>
      </c>
      <c r="AM31">
        <v>6.8672320614497795E-2</v>
      </c>
      <c r="AN31">
        <v>1.1701601676084875E-2</v>
      </c>
      <c r="AO31">
        <v>2.0741061675179866</v>
      </c>
      <c r="AP31">
        <v>2.0194261716004984</v>
      </c>
      <c r="AQ31">
        <v>2.2236106768008836E-2</v>
      </c>
      <c r="AR31">
        <v>1.2184690386293539E-2</v>
      </c>
      <c r="AS31">
        <v>4.3956966655706999</v>
      </c>
      <c r="AT31">
        <v>6.1097315922686267E-2</v>
      </c>
      <c r="AU31">
        <v>7.343427395562345E-2</v>
      </c>
      <c r="AV31">
        <v>19.062920580986603</v>
      </c>
      <c r="AW31">
        <v>0.92365760845086542</v>
      </c>
      <c r="AX31">
        <v>2.4895621870057685</v>
      </c>
      <c r="AY31">
        <v>11.599690253187788</v>
      </c>
      <c r="AZ31">
        <v>0.8639527276254223</v>
      </c>
      <c r="BA31">
        <v>0.5011914471636294</v>
      </c>
      <c r="BD31">
        <v>118.12111086464638</v>
      </c>
      <c r="BE31">
        <v>33.993695640275952</v>
      </c>
      <c r="BF31">
        <v>26.341664929573753</v>
      </c>
      <c r="BG31">
        <v>9.9451827065091578</v>
      </c>
      <c r="BH31">
        <v>0.10813282519621244</v>
      </c>
      <c r="BI31">
        <v>0.1149747443485824</v>
      </c>
      <c r="BJ31">
        <v>0.13741099792304287</v>
      </c>
      <c r="BK31">
        <v>0.1964110845078782</v>
      </c>
    </row>
    <row r="32" spans="1:64" x14ac:dyDescent="0.2">
      <c r="A32" t="s">
        <v>15</v>
      </c>
      <c r="B32" t="s">
        <v>6</v>
      </c>
      <c r="C32" s="2">
        <v>0.32943542237037038</v>
      </c>
      <c r="D32">
        <v>94.352989588402792</v>
      </c>
      <c r="E32">
        <v>0.36331522717581682</v>
      </c>
      <c r="F32" s="3">
        <v>1.8195236819928724</v>
      </c>
      <c r="G32" s="3">
        <v>0.35847946883860476</v>
      </c>
      <c r="H32" s="4">
        <v>31.952795326918487</v>
      </c>
      <c r="I32" s="3">
        <v>42.459913191620508</v>
      </c>
      <c r="J32">
        <v>0.25888888888888889</v>
      </c>
      <c r="K32" s="3">
        <v>5.2486161782756807E-2</v>
      </c>
      <c r="L32" s="3">
        <v>59.151327826225383</v>
      </c>
      <c r="M32">
        <v>-2.2520133333333328</v>
      </c>
      <c r="N32">
        <v>-1.9483333329999999</v>
      </c>
      <c r="O32">
        <v>200.24517476807176</v>
      </c>
      <c r="P32">
        <v>3.3809567607893634</v>
      </c>
      <c r="Q32">
        <v>62.186487618930812</v>
      </c>
      <c r="R32">
        <v>121.41112507792459</v>
      </c>
      <c r="S32">
        <v>14.415693247897311</v>
      </c>
      <c r="T32">
        <v>2.248622906</v>
      </c>
      <c r="W32">
        <v>2013.2030090000001</v>
      </c>
      <c r="X32">
        <v>253.72805510000001</v>
      </c>
      <c r="Y32">
        <v>174.42628830000001</v>
      </c>
      <c r="Z32">
        <v>471.67475200000001</v>
      </c>
      <c r="AA32">
        <v>0.51726604700000001</v>
      </c>
      <c r="AB32">
        <v>3.2962361140000001</v>
      </c>
      <c r="AC32">
        <v>0.53315755600000003</v>
      </c>
      <c r="AD32">
        <v>0.71537337400000001</v>
      </c>
      <c r="AH32" t="s">
        <v>11</v>
      </c>
      <c r="AI32" t="s">
        <v>6</v>
      </c>
      <c r="AJ32">
        <v>0.26947106489248868</v>
      </c>
      <c r="AK32">
        <v>3.6461747926766943</v>
      </c>
      <c r="AL32">
        <v>3.2343703677626068E-2</v>
      </c>
      <c r="AM32">
        <v>3.8928601042351359E-2</v>
      </c>
      <c r="AN32">
        <v>5.7355490852388251E-3</v>
      </c>
      <c r="AO32">
        <v>2.2534684585302904</v>
      </c>
      <c r="AP32">
        <v>3.0854375501844076</v>
      </c>
      <c r="AQ32">
        <v>9.235153804954389E-3</v>
      </c>
      <c r="AR32">
        <v>1.8352624058764456E-3</v>
      </c>
      <c r="AS32">
        <v>2.5830671219921291</v>
      </c>
      <c r="AT32">
        <v>6.974158323515886E-2</v>
      </c>
      <c r="AU32">
        <v>8.3824018527623625E-2</v>
      </c>
      <c r="AV32">
        <v>23.992344784994057</v>
      </c>
      <c r="AW32">
        <v>0.41266960001829017</v>
      </c>
      <c r="AX32">
        <v>2.932913731398108</v>
      </c>
      <c r="AY32">
        <v>23.745493302032465</v>
      </c>
      <c r="AZ32">
        <v>1.0420994463046633</v>
      </c>
      <c r="BA32">
        <v>0.3316299950605836</v>
      </c>
      <c r="BD32">
        <v>40.900213545508038</v>
      </c>
      <c r="BE32">
        <v>32.560280740375532</v>
      </c>
      <c r="BF32">
        <v>36.932436496812954</v>
      </c>
      <c r="BG32">
        <v>64.171249816527776</v>
      </c>
      <c r="BH32">
        <v>0.16587825002525186</v>
      </c>
      <c r="BI32">
        <v>0.79326877362751436</v>
      </c>
      <c r="BJ32">
        <v>9.7202193465049019E-2</v>
      </c>
      <c r="BK32">
        <v>3.970851975386596E-2</v>
      </c>
    </row>
    <row r="33" spans="1:65" x14ac:dyDescent="0.2">
      <c r="A33" t="s">
        <v>15</v>
      </c>
      <c r="B33" t="s">
        <v>6</v>
      </c>
      <c r="C33">
        <v>0.37516054000000004</v>
      </c>
      <c r="D33">
        <v>121.48658849644001</v>
      </c>
      <c r="E33">
        <v>0.37608682847865132</v>
      </c>
      <c r="F33" s="3">
        <v>1.847144370816131</v>
      </c>
      <c r="G33" s="3">
        <v>0.35201742577251088</v>
      </c>
      <c r="H33" s="4">
        <v>30.755427950600598</v>
      </c>
      <c r="I33" s="3">
        <v>42.670963122090939</v>
      </c>
      <c r="J33">
        <v>0.32333333333333331</v>
      </c>
      <c r="K33" s="3">
        <v>6.6368982735407756E-2</v>
      </c>
      <c r="L33" s="3">
        <v>56.760547453130719</v>
      </c>
      <c r="M33">
        <v>-2.5917466666666664</v>
      </c>
      <c r="N33">
        <v>-2.3566666669999998</v>
      </c>
      <c r="O33">
        <v>146.03703354740537</v>
      </c>
      <c r="P33">
        <v>5.2061808259496578</v>
      </c>
      <c r="Q33">
        <v>74.143033796282111</v>
      </c>
      <c r="R33">
        <v>124.26173467823529</v>
      </c>
      <c r="S33">
        <v>16.147101204893154</v>
      </c>
      <c r="T33">
        <v>2.856996863</v>
      </c>
      <c r="W33">
        <v>2151.0336379999999</v>
      </c>
      <c r="X33">
        <v>135.793701</v>
      </c>
      <c r="Y33">
        <v>114.11182719999999</v>
      </c>
      <c r="Z33">
        <v>404.40454519999997</v>
      </c>
      <c r="AA33">
        <v>0.66933398700000002</v>
      </c>
      <c r="AB33">
        <v>2.140192742</v>
      </c>
      <c r="AC33">
        <v>0.41277043699999999</v>
      </c>
      <c r="AD33">
        <v>0.510980981</v>
      </c>
      <c r="AH33" t="s">
        <v>14</v>
      </c>
      <c r="AI33" t="s">
        <v>6</v>
      </c>
      <c r="AJ33">
        <v>0.31530110648886162</v>
      </c>
      <c r="AK33">
        <v>3.2875663105020037</v>
      </c>
      <c r="AL33">
        <v>7.1477666787585605E-3</v>
      </c>
      <c r="AM33">
        <v>1.730870983071181E-2</v>
      </c>
      <c r="AN33">
        <v>3.2626169648331442E-3</v>
      </c>
      <c r="AO33">
        <v>2.8817512686757993</v>
      </c>
      <c r="AP33">
        <v>3.0627753093628254</v>
      </c>
      <c r="AQ33">
        <v>6.43901431347642E-3</v>
      </c>
      <c r="AR33">
        <v>2.2862863301704741E-3</v>
      </c>
      <c r="AS33">
        <v>2.3574754758851597</v>
      </c>
      <c r="AT33">
        <v>0.18407698498966416</v>
      </c>
      <c r="AU33">
        <v>0.18407698508884202</v>
      </c>
      <c r="AV33">
        <v>26.004907827344919</v>
      </c>
      <c r="AW33">
        <v>0.82368049286414591</v>
      </c>
      <c r="AX33">
        <v>5.1765212048769742</v>
      </c>
      <c r="AY33">
        <v>18.25685685349573</v>
      </c>
      <c r="AZ33">
        <v>1.411401565818216</v>
      </c>
      <c r="BA33">
        <v>0.65780947314968508</v>
      </c>
      <c r="BD33">
        <v>339.33380433851943</v>
      </c>
      <c r="BE33">
        <v>8.6902884617189216</v>
      </c>
      <c r="BF33">
        <v>13.689919257521396</v>
      </c>
      <c r="BG33">
        <v>95.854907729753975</v>
      </c>
      <c r="BH33">
        <v>3.6733910076533427E-2</v>
      </c>
      <c r="BI33">
        <v>0.20826644762461982</v>
      </c>
      <c r="BJ33">
        <v>0.1076945982736468</v>
      </c>
      <c r="BK33">
        <v>2.0683357476653876E-2</v>
      </c>
    </row>
    <row r="34" spans="1:65" x14ac:dyDescent="0.2">
      <c r="A34" t="s">
        <v>16</v>
      </c>
      <c r="B34" t="s">
        <v>8</v>
      </c>
      <c r="C34">
        <v>1.4151465125925924</v>
      </c>
      <c r="D34">
        <v>304.41784112430349</v>
      </c>
      <c r="E34">
        <v>0.44462126832028598</v>
      </c>
      <c r="F34" s="3">
        <v>1.2261285925137433</v>
      </c>
      <c r="G34" s="3">
        <v>0.44962483458763769</v>
      </c>
      <c r="H34" s="4">
        <v>82.790520400164553</v>
      </c>
      <c r="I34" s="3">
        <v>16.267997064867725</v>
      </c>
      <c r="J34">
        <v>0.68333333333333346</v>
      </c>
      <c r="K34" s="3">
        <v>0.43102135552316262</v>
      </c>
      <c r="L34" s="3">
        <v>141.7183636512251</v>
      </c>
      <c r="M34">
        <v>-2.6063066666666663</v>
      </c>
      <c r="N34">
        <v>-2.3741666669999999</v>
      </c>
      <c r="O34">
        <v>338.77671974396458</v>
      </c>
      <c r="P34">
        <v>6.484163432284654</v>
      </c>
      <c r="Q34">
        <v>37.202978481762401</v>
      </c>
      <c r="R34">
        <v>282.28040358520002</v>
      </c>
      <c r="S34">
        <v>33.091386967783976</v>
      </c>
      <c r="T34">
        <v>8.1679670049999995</v>
      </c>
      <c r="U34">
        <v>24.643855553604865</v>
      </c>
      <c r="V34">
        <v>400.71316466616946</v>
      </c>
      <c r="W34">
        <v>256.8782908</v>
      </c>
      <c r="X34">
        <v>278.97819930000003</v>
      </c>
      <c r="Y34">
        <v>100.01337650000001</v>
      </c>
      <c r="Z34">
        <v>135.8556087</v>
      </c>
      <c r="AA34">
        <v>2.61972279</v>
      </c>
      <c r="AB34">
        <v>3.8415441549999998</v>
      </c>
      <c r="AC34">
        <v>1.2181741370000001</v>
      </c>
      <c r="AD34">
        <v>1.4216084069999999</v>
      </c>
      <c r="AH34" t="s">
        <v>15</v>
      </c>
      <c r="AI34" t="s">
        <v>6</v>
      </c>
      <c r="AJ34">
        <v>1.264763814075389</v>
      </c>
      <c r="AK34">
        <v>18.490398567796888</v>
      </c>
      <c r="AL34">
        <v>2.906045092856404E-2</v>
      </c>
      <c r="AM34">
        <v>0.18119340929184172</v>
      </c>
      <c r="AN34">
        <v>2.7251884449910377E-2</v>
      </c>
      <c r="AO34">
        <v>0.94653926199965888</v>
      </c>
      <c r="AP34">
        <v>2.4034722459356748</v>
      </c>
      <c r="AQ34">
        <v>2.6229048069277863E-2</v>
      </c>
      <c r="AR34">
        <v>6.3326092438765547E-3</v>
      </c>
      <c r="AS34">
        <v>9.8182633203878815</v>
      </c>
      <c r="AT34">
        <v>0.1211684369633773</v>
      </c>
      <c r="AU34">
        <v>0.12116843717632438</v>
      </c>
      <c r="AV34">
        <v>15.902733788254105</v>
      </c>
      <c r="AW34">
        <v>0.53131402729390331</v>
      </c>
      <c r="AX34">
        <v>8.3735384754214568</v>
      </c>
      <c r="AY34">
        <v>34.55677201568448</v>
      </c>
      <c r="AZ34">
        <v>2.4095299985902416</v>
      </c>
      <c r="BA34">
        <v>0.17896420877575803</v>
      </c>
      <c r="BD34">
        <v>70.216694533922166</v>
      </c>
      <c r="BE34">
        <v>49.937229683145851</v>
      </c>
      <c r="BF34">
        <v>26.813948303294001</v>
      </c>
      <c r="BG34">
        <v>66.367936580864381</v>
      </c>
      <c r="BH34">
        <v>6.2488777133855082E-2</v>
      </c>
      <c r="BI34">
        <v>0.37113356438609751</v>
      </c>
      <c r="BJ34">
        <v>3.7693871558219551E-2</v>
      </c>
      <c r="BK34">
        <v>5.9067486082779702E-2</v>
      </c>
    </row>
    <row r="35" spans="1:65" x14ac:dyDescent="0.2">
      <c r="A35" t="s">
        <v>16</v>
      </c>
      <c r="B35" t="s">
        <v>8</v>
      </c>
      <c r="C35">
        <v>1.3751645137037036</v>
      </c>
      <c r="D35">
        <v>286.95638617906309</v>
      </c>
      <c r="E35">
        <v>0.42440804991454417</v>
      </c>
      <c r="F35" s="3">
        <v>1.2754282629109255</v>
      </c>
      <c r="G35" s="3">
        <v>0.43964095335762515</v>
      </c>
      <c r="H35" s="4">
        <v>83.539092014633141</v>
      </c>
      <c r="I35" s="3">
        <v>17.591716374110241</v>
      </c>
      <c r="J35">
        <v>0.67444444444444451</v>
      </c>
      <c r="K35" s="3">
        <v>0.58493285810643536</v>
      </c>
      <c r="L35" s="3">
        <v>201.67944149939532</v>
      </c>
      <c r="M35">
        <v>-2.5861999999999998</v>
      </c>
      <c r="N35">
        <v>-2.35</v>
      </c>
      <c r="O35">
        <v>296.38194986885173</v>
      </c>
      <c r="P35">
        <v>5.7796405656850558</v>
      </c>
      <c r="Q35">
        <v>28.512572128348392</v>
      </c>
      <c r="R35">
        <v>210.88652178295689</v>
      </c>
      <c r="S35">
        <v>60.343033862894757</v>
      </c>
      <c r="T35">
        <v>5.177240082</v>
      </c>
      <c r="U35">
        <v>14.625372144488956</v>
      </c>
      <c r="V35">
        <v>191.36171870674306</v>
      </c>
      <c r="W35">
        <v>492.2952598</v>
      </c>
      <c r="X35">
        <v>302.2571749</v>
      </c>
      <c r="Y35">
        <v>132.65321</v>
      </c>
      <c r="Z35">
        <v>198.9182304</v>
      </c>
      <c r="AA35">
        <v>1.213919038</v>
      </c>
      <c r="AB35">
        <v>4.0569332280000001</v>
      </c>
      <c r="AC35">
        <v>1.8272612050000001</v>
      </c>
      <c r="AD35">
        <v>1.216350523</v>
      </c>
      <c r="AH35" t="s">
        <v>7</v>
      </c>
      <c r="AI35" t="s">
        <v>8</v>
      </c>
      <c r="AJ35">
        <v>6.0356422339372114E-2</v>
      </c>
      <c r="AK35">
        <v>15.267010373604025</v>
      </c>
      <c r="AL35">
        <v>2.926220954725824E-2</v>
      </c>
      <c r="AM35">
        <v>0.1435256327895563</v>
      </c>
      <c r="AN35">
        <v>2.564880052974108E-2</v>
      </c>
      <c r="AO35">
        <v>1.3072769137168352</v>
      </c>
      <c r="AP35">
        <v>1.5147022310880349</v>
      </c>
      <c r="AQ35">
        <v>2.3460850844752846E-2</v>
      </c>
      <c r="AR35">
        <v>2.3344135147915904E-2</v>
      </c>
      <c r="AS35">
        <v>7.1097548969877806</v>
      </c>
      <c r="AT35">
        <v>8.290029970033834E-2</v>
      </c>
      <c r="AU35">
        <v>9.9639783188358325E-2</v>
      </c>
      <c r="AV35">
        <v>5.305953667876727</v>
      </c>
      <c r="AW35">
        <v>0.114678075705043</v>
      </c>
      <c r="AX35">
        <v>1.7109467807229783</v>
      </c>
      <c r="AY35">
        <v>29.15558987270294</v>
      </c>
      <c r="AZ35">
        <v>6.0460671233581333</v>
      </c>
      <c r="BA35">
        <v>9.8401540622011174E-2</v>
      </c>
      <c r="BB35">
        <v>3.4433466876276402</v>
      </c>
      <c r="BC35">
        <v>45.705739210040171</v>
      </c>
      <c r="BD35">
        <v>82.656996573042804</v>
      </c>
      <c r="BE35">
        <v>32.896165314982412</v>
      </c>
      <c r="BF35">
        <v>34.8491405389478</v>
      </c>
      <c r="BG35">
        <v>8.7690730253268008</v>
      </c>
      <c r="BH35">
        <v>0.17145265302742779</v>
      </c>
      <c r="BI35">
        <v>0.36534488887562017</v>
      </c>
      <c r="BJ35">
        <v>2.0465001328239404E-2</v>
      </c>
      <c r="BK35">
        <v>5.8676650497544107E-2</v>
      </c>
    </row>
    <row r="36" spans="1:65" x14ac:dyDescent="0.2">
      <c r="A36" t="s">
        <v>16</v>
      </c>
      <c r="B36" t="s">
        <v>8</v>
      </c>
      <c r="C36">
        <v>0.81336754888888885</v>
      </c>
      <c r="D36">
        <v>193.79528366769384</v>
      </c>
      <c r="E36">
        <v>0.40974772094200534</v>
      </c>
      <c r="F36" s="3">
        <v>1.6717989281023373</v>
      </c>
      <c r="G36" s="3">
        <v>0.37580578181875279</v>
      </c>
      <c r="H36" s="4">
        <v>83.121085734525124</v>
      </c>
      <c r="I36" s="3">
        <v>11.45696871226372</v>
      </c>
      <c r="J36">
        <v>0.47444444444444445</v>
      </c>
      <c r="K36" s="3">
        <v>0.47878642246003283</v>
      </c>
      <c r="L36" s="3">
        <v>246.69612037825036</v>
      </c>
      <c r="M36">
        <v>-2.36572</v>
      </c>
      <c r="N36">
        <v>-2.085</v>
      </c>
      <c r="O36">
        <v>192.97462846398005</v>
      </c>
      <c r="P36">
        <v>5.2872647917888749</v>
      </c>
      <c r="Q36">
        <v>31.288031604124697</v>
      </c>
      <c r="R36">
        <v>287.20855304284129</v>
      </c>
      <c r="S36">
        <v>33.15119676888218</v>
      </c>
      <c r="T36">
        <v>4.6259007890000001</v>
      </c>
      <c r="U36">
        <v>21.713601862955848</v>
      </c>
      <c r="V36">
        <v>331.65313500372173</v>
      </c>
      <c r="W36">
        <v>304.49243819999998</v>
      </c>
      <c r="X36">
        <v>329.97024099999999</v>
      </c>
      <c r="Y36">
        <v>135.73243959999999</v>
      </c>
      <c r="Z36">
        <v>168.24910389999999</v>
      </c>
      <c r="AA36">
        <v>1.8238166010000001</v>
      </c>
      <c r="AB36">
        <v>4.0538938719999997</v>
      </c>
      <c r="AC36">
        <v>1.21938988</v>
      </c>
      <c r="AD36">
        <v>1.825032344</v>
      </c>
      <c r="AH36" t="s">
        <v>13</v>
      </c>
      <c r="AI36" t="s">
        <v>8</v>
      </c>
      <c r="AJ36">
        <v>0.14084199629875654</v>
      </c>
      <c r="AK36">
        <v>38.525249783327965</v>
      </c>
      <c r="AL36">
        <v>1.7670252990264052E-2</v>
      </c>
      <c r="AM36">
        <v>0.36405318212007104</v>
      </c>
      <c r="AN36">
        <v>2.6504495577597358E-2</v>
      </c>
      <c r="AO36">
        <v>1.5148703910859789</v>
      </c>
      <c r="AP36">
        <v>4.117903799354929</v>
      </c>
      <c r="AQ36">
        <v>7.1265024389075129E-2</v>
      </c>
      <c r="AR36">
        <v>2.2445952610114363E-2</v>
      </c>
      <c r="AS36">
        <v>5.2009657948812773</v>
      </c>
      <c r="AT36">
        <v>0.10596463344007408</v>
      </c>
      <c r="AU36">
        <v>0.12736133815857245</v>
      </c>
      <c r="AV36">
        <v>19.757634465551991</v>
      </c>
      <c r="AW36">
        <v>0.82272369215475016</v>
      </c>
      <c r="AX36">
        <v>4.1196827366715745</v>
      </c>
      <c r="AY36">
        <v>23.534170251795452</v>
      </c>
      <c r="AZ36">
        <v>6.9804332713845607</v>
      </c>
      <c r="BA36">
        <v>0.76053459482173946</v>
      </c>
      <c r="BB36">
        <v>2.1013184142421886</v>
      </c>
      <c r="BC36">
        <v>57.127954383231575</v>
      </c>
      <c r="BD36">
        <v>53.204350527021106</v>
      </c>
      <c r="BE36">
        <v>46.116091178426302</v>
      </c>
      <c r="BF36">
        <v>12.635968295030695</v>
      </c>
      <c r="BG36">
        <v>16.216963904314362</v>
      </c>
      <c r="BH36">
        <v>0.11002194739512122</v>
      </c>
      <c r="BI36">
        <v>0.24256219369560431</v>
      </c>
      <c r="BJ36">
        <v>6.3392859240851293E-2</v>
      </c>
      <c r="BK36">
        <v>4.1783917936191975E-2</v>
      </c>
    </row>
    <row r="37" spans="1:65" x14ac:dyDescent="0.2">
      <c r="A37" s="7"/>
      <c r="F37"/>
      <c r="G37"/>
      <c r="H37"/>
      <c r="I37" s="3"/>
      <c r="J37" s="3"/>
      <c r="K37" s="3"/>
      <c r="L37" s="2"/>
      <c r="M37"/>
      <c r="N37" s="3"/>
      <c r="AJ37" t="s">
        <v>12</v>
      </c>
      <c r="AK37" t="s">
        <v>8</v>
      </c>
      <c r="AL37">
        <v>8.2559995549507006E-2</v>
      </c>
      <c r="AM37">
        <v>30.791875237824843</v>
      </c>
      <c r="AN37">
        <v>7.7144781966580755E-2</v>
      </c>
      <c r="AO37">
        <v>9.2423147593488617E-2</v>
      </c>
      <c r="AP37">
        <v>8.7578497254344016E-3</v>
      </c>
      <c r="AQ37">
        <v>3.7216462210685108</v>
      </c>
      <c r="AR37">
        <v>12.224139143107958</v>
      </c>
      <c r="AS37">
        <v>8.3771686563883299E-2</v>
      </c>
      <c r="AT37">
        <v>4.4082119596005991E-2</v>
      </c>
      <c r="AU37">
        <v>12.725113519439862</v>
      </c>
      <c r="AV37">
        <v>5.4071604273111494E-2</v>
      </c>
      <c r="AW37">
        <v>6.4989909043605673E-2</v>
      </c>
      <c r="AX37">
        <v>14.672984523399082</v>
      </c>
      <c r="AY37">
        <v>0.85388555856194148</v>
      </c>
      <c r="AZ37">
        <v>1.7157293350965397</v>
      </c>
      <c r="BA37">
        <v>29.552731845145857</v>
      </c>
      <c r="BB37">
        <v>1.0862764825043343</v>
      </c>
      <c r="BC37">
        <v>1.5626118931193111</v>
      </c>
      <c r="BD37">
        <v>2.7610622226990658</v>
      </c>
      <c r="BE37">
        <v>31.013883695566445</v>
      </c>
      <c r="BF37">
        <v>9.8476067393326971</v>
      </c>
      <c r="BG37">
        <v>42.292689755045487</v>
      </c>
      <c r="BH37">
        <v>16.254962257441953</v>
      </c>
      <c r="BI37">
        <v>18.256620312589398</v>
      </c>
      <c r="BJ37">
        <v>0.10558044140434013</v>
      </c>
      <c r="BK37">
        <v>0.54529673711172866</v>
      </c>
      <c r="BL37">
        <v>1.0643860147814717</v>
      </c>
      <c r="BM37">
        <v>7.1379407620958249E-2</v>
      </c>
    </row>
    <row r="38" spans="1:65" x14ac:dyDescent="0.2">
      <c r="A38" s="7"/>
      <c r="F38"/>
      <c r="G38"/>
      <c r="H38"/>
      <c r="I38" s="3"/>
      <c r="J38" s="3"/>
      <c r="K38" s="3"/>
      <c r="M38"/>
      <c r="N38" s="3"/>
      <c r="O38" s="5"/>
      <c r="AJ38" t="s">
        <v>16</v>
      </c>
      <c r="AK38" t="s">
        <v>8</v>
      </c>
      <c r="AL38" s="2">
        <v>1.9427247628129575E-5</v>
      </c>
      <c r="AM38" s="2">
        <v>34.335957535323054</v>
      </c>
      <c r="AN38" s="2">
        <v>1.0109576729601621E-2</v>
      </c>
      <c r="AO38" s="2">
        <v>0.14105991823234873</v>
      </c>
      <c r="AP38" s="2">
        <v>2.3122691544498905E-2</v>
      </c>
      <c r="AQ38">
        <v>0.21658487585168568</v>
      </c>
      <c r="AR38">
        <v>1.8638871488046227</v>
      </c>
      <c r="AS38" s="2">
        <v>6.8196440199226299E-2</v>
      </c>
      <c r="AT38" s="2">
        <v>4.548340236273158E-2</v>
      </c>
      <c r="AU38" s="2">
        <v>30.40665281110368</v>
      </c>
      <c r="AV38" s="2">
        <v>9.2624207605218056E-2</v>
      </c>
      <c r="AW38">
        <v>9.2624207605218056E-2</v>
      </c>
      <c r="AX38" s="2">
        <v>43.300398020823003</v>
      </c>
      <c r="AY38" s="2">
        <v>0.34731931568173247</v>
      </c>
      <c r="AZ38" s="2">
        <v>2.5626910161386678</v>
      </c>
      <c r="BA38" s="2">
        <v>24.660388239323485</v>
      </c>
      <c r="BB38" s="2">
        <v>9.0739304221784352</v>
      </c>
      <c r="BC38" s="2">
        <v>1.100370028837673</v>
      </c>
      <c r="BD38">
        <v>2.9739554372809991</v>
      </c>
      <c r="BE38">
        <v>61.589590153469558</v>
      </c>
      <c r="BF38">
        <v>71.863356479278394</v>
      </c>
      <c r="BG38">
        <v>14.738673716217884</v>
      </c>
      <c r="BH38">
        <v>11.42777283008563</v>
      </c>
      <c r="BI38">
        <v>18.206879200901991</v>
      </c>
      <c r="BJ38">
        <v>0.40700299525889139</v>
      </c>
      <c r="BK38">
        <v>7.1295197250246065E-2</v>
      </c>
      <c r="BL38">
        <v>0.20282670241482542</v>
      </c>
      <c r="BM38">
        <v>0.17878839615872713</v>
      </c>
    </row>
    <row r="39" spans="1:65" x14ac:dyDescent="0.2">
      <c r="A39" s="7"/>
      <c r="F39"/>
      <c r="G39"/>
      <c r="H39"/>
      <c r="I39" s="3"/>
      <c r="J39" s="3"/>
      <c r="K39" s="3"/>
      <c r="M39"/>
      <c r="N39" s="3"/>
      <c r="O39" s="5"/>
      <c r="AJ39" s="2"/>
      <c r="AK39" s="2"/>
      <c r="AL39" s="2"/>
      <c r="AM39" s="2"/>
      <c r="AN39" s="2"/>
      <c r="AS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spans="1:65" x14ac:dyDescent="0.2">
      <c r="D40" s="2"/>
      <c r="I40" s="3"/>
      <c r="J40" s="3"/>
      <c r="K40" s="3"/>
      <c r="N40" s="3"/>
    </row>
    <row r="41" spans="1:65" x14ac:dyDescent="0.2">
      <c r="D41" s="2"/>
      <c r="I41" s="3"/>
      <c r="J41" s="3"/>
      <c r="K41" s="3"/>
      <c r="N41" s="3"/>
    </row>
    <row r="42" spans="1:65" x14ac:dyDescent="0.2">
      <c r="D42" s="2"/>
      <c r="I42" s="3"/>
      <c r="J42" s="3"/>
      <c r="K42" s="3"/>
      <c r="N42" s="3"/>
    </row>
    <row r="43" spans="1:65" x14ac:dyDescent="0.2">
      <c r="N43" s="3"/>
    </row>
    <row r="44" spans="1:65" x14ac:dyDescent="0.2">
      <c r="D44" s="2"/>
      <c r="N44" s="3"/>
    </row>
    <row r="45" spans="1:65" x14ac:dyDescent="0.2">
      <c r="D45" s="2"/>
      <c r="N45" s="3"/>
    </row>
    <row r="46" spans="1:65" x14ac:dyDescent="0.2">
      <c r="D46" s="2"/>
      <c r="N46" s="3"/>
    </row>
    <row r="47" spans="1:65" x14ac:dyDescent="0.2">
      <c r="N47" s="3"/>
    </row>
    <row r="48" spans="1:65" x14ac:dyDescent="0.2">
      <c r="N48" s="3"/>
    </row>
    <row r="49" spans="6:14" x14ac:dyDescent="0.2">
      <c r="N49" s="3"/>
    </row>
    <row r="50" spans="6:14" x14ac:dyDescent="0.2">
      <c r="N50" s="3"/>
    </row>
    <row r="51" spans="6:14" x14ac:dyDescent="0.2">
      <c r="N51" s="3"/>
    </row>
    <row r="54" spans="6:14" x14ac:dyDescent="0.2">
      <c r="F54"/>
      <c r="G54"/>
      <c r="H54"/>
      <c r="I54"/>
      <c r="J54"/>
      <c r="K54"/>
      <c r="M54"/>
      <c r="N54"/>
    </row>
    <row r="56" spans="6:14" x14ac:dyDescent="0.2">
      <c r="F56"/>
      <c r="G56"/>
      <c r="H56"/>
      <c r="I56"/>
      <c r="J56"/>
      <c r="K56"/>
      <c r="M56"/>
      <c r="N56"/>
    </row>
    <row r="57" spans="6:14" x14ac:dyDescent="0.2">
      <c r="F57"/>
      <c r="G57"/>
      <c r="H57"/>
      <c r="I57"/>
      <c r="J57"/>
      <c r="K57"/>
      <c r="M57"/>
      <c r="N57"/>
    </row>
    <row r="58" spans="6:14" x14ac:dyDescent="0.2">
      <c r="F58"/>
      <c r="G58"/>
      <c r="H58"/>
      <c r="I58"/>
      <c r="J58"/>
      <c r="K58"/>
      <c r="M58"/>
      <c r="N58"/>
    </row>
    <row r="60" spans="6:14" x14ac:dyDescent="0.2">
      <c r="F60"/>
      <c r="G60"/>
      <c r="H60"/>
      <c r="I60"/>
      <c r="J60"/>
      <c r="K60"/>
      <c r="M60"/>
      <c r="N60"/>
    </row>
    <row r="61" spans="6:14" x14ac:dyDescent="0.2">
      <c r="F61"/>
      <c r="G61"/>
      <c r="H61"/>
      <c r="I61"/>
      <c r="J61"/>
      <c r="K61"/>
      <c r="M61"/>
      <c r="N61"/>
    </row>
    <row r="62" spans="6:14" x14ac:dyDescent="0.2">
      <c r="F62"/>
      <c r="G62"/>
      <c r="H62"/>
      <c r="I62"/>
      <c r="J62"/>
      <c r="K62"/>
      <c r="M62"/>
      <c r="N62"/>
    </row>
    <row r="64" spans="6:14" x14ac:dyDescent="0.2">
      <c r="F64"/>
      <c r="G64"/>
      <c r="H64"/>
      <c r="I64"/>
      <c r="J64"/>
      <c r="K64"/>
      <c r="M64"/>
      <c r="N64"/>
    </row>
    <row r="109" customFormat="1" x14ac:dyDescent="0.2"/>
    <row r="110" customForma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A2" sqref="A2"/>
    </sheetView>
  </sheetViews>
  <sheetFormatPr baseColWidth="10" defaultColWidth="11" defaultRowHeight="16" x14ac:dyDescent="0.2"/>
  <cols>
    <col min="1" max="1" width="33.83203125" customWidth="1"/>
  </cols>
  <sheetData>
    <row r="1" spans="1:10" x14ac:dyDescent="0.2">
      <c r="A1" t="s">
        <v>241</v>
      </c>
    </row>
    <row r="3" spans="1:10" s="12" customFormat="1" x14ac:dyDescent="0.2">
      <c r="B3" s="12" t="s">
        <v>134</v>
      </c>
      <c r="C3" s="12" t="s">
        <v>135</v>
      </c>
      <c r="D3" s="12" t="s">
        <v>136</v>
      </c>
      <c r="E3" s="12" t="s">
        <v>137</v>
      </c>
      <c r="F3" s="12" t="s">
        <v>138</v>
      </c>
    </row>
    <row r="4" spans="1:10" x14ac:dyDescent="0.2">
      <c r="A4" s="12" t="s">
        <v>85</v>
      </c>
      <c r="B4">
        <v>0.26702910000000002</v>
      </c>
      <c r="C4">
        <v>0.93905521999999997</v>
      </c>
      <c r="D4">
        <v>0.17004348</v>
      </c>
      <c r="E4">
        <v>-6.2239500000000003E-2</v>
      </c>
      <c r="F4">
        <v>0.11866862</v>
      </c>
    </row>
    <row r="5" spans="1:10" x14ac:dyDescent="0.2">
      <c r="A5" s="12" t="s">
        <v>84</v>
      </c>
      <c r="B5">
        <v>-0.1444752</v>
      </c>
      <c r="C5">
        <v>0.23151558</v>
      </c>
      <c r="D5">
        <v>0.36972556000000001</v>
      </c>
      <c r="E5">
        <v>0.86250464999999998</v>
      </c>
      <c r="F5">
        <v>-0.21193438000000001</v>
      </c>
    </row>
    <row r="6" spans="1:10" x14ac:dyDescent="0.2">
      <c r="A6" s="12" t="s">
        <v>93</v>
      </c>
      <c r="B6">
        <v>-0.81790779999999996</v>
      </c>
      <c r="C6">
        <v>-6.6675230000000002E-2</v>
      </c>
      <c r="D6">
        <v>-0.26620703000000001</v>
      </c>
      <c r="E6">
        <v>0.29969889999999999</v>
      </c>
      <c r="F6">
        <v>0.40730295</v>
      </c>
    </row>
    <row r="7" spans="1:10" x14ac:dyDescent="0.2">
      <c r="A7" s="12" t="s">
        <v>130</v>
      </c>
      <c r="B7">
        <v>-0.19329940000000001</v>
      </c>
      <c r="C7">
        <v>0.69205616999999997</v>
      </c>
      <c r="D7">
        <v>-0.65440149999999997</v>
      </c>
      <c r="E7">
        <v>8.490019E-2</v>
      </c>
      <c r="F7">
        <v>-0.21964568000000001</v>
      </c>
    </row>
    <row r="8" spans="1:10" x14ac:dyDescent="0.2">
      <c r="A8" s="12" t="s">
        <v>131</v>
      </c>
      <c r="B8">
        <v>0.98393280000000005</v>
      </c>
      <c r="C8">
        <v>-0.102757</v>
      </c>
      <c r="D8">
        <v>-9.9637660000000003E-2</v>
      </c>
      <c r="E8">
        <v>9.2601630000000004E-2</v>
      </c>
      <c r="F8">
        <v>5.3051229999999998E-2</v>
      </c>
    </row>
    <row r="10" spans="1:10" x14ac:dyDescent="0.2">
      <c r="A10" s="12"/>
      <c r="B10" s="12" t="s">
        <v>134</v>
      </c>
      <c r="C10" s="12" t="s">
        <v>135</v>
      </c>
      <c r="D10" s="12" t="s">
        <v>136</v>
      </c>
      <c r="E10" s="12" t="s">
        <v>137</v>
      </c>
      <c r="F10" s="12" t="s">
        <v>138</v>
      </c>
      <c r="G10" s="12" t="s">
        <v>25</v>
      </c>
      <c r="H10" s="12" t="s">
        <v>24</v>
      </c>
      <c r="I10" s="12" t="s">
        <v>23</v>
      </c>
      <c r="J10" s="12" t="s">
        <v>216</v>
      </c>
    </row>
    <row r="11" spans="1:10" x14ac:dyDescent="0.2">
      <c r="A11" s="12" t="s">
        <v>134</v>
      </c>
      <c r="B11" s="26" t="s">
        <v>26</v>
      </c>
      <c r="C11" t="s">
        <v>140</v>
      </c>
      <c r="D11" t="s">
        <v>141</v>
      </c>
      <c r="E11" t="s">
        <v>142</v>
      </c>
      <c r="F11" t="s">
        <v>143</v>
      </c>
      <c r="G11" t="s">
        <v>144</v>
      </c>
      <c r="H11" s="27" t="s">
        <v>145</v>
      </c>
      <c r="I11" s="27" t="s">
        <v>146</v>
      </c>
      <c r="J11" s="27" t="s">
        <v>147</v>
      </c>
    </row>
    <row r="12" spans="1:10" x14ac:dyDescent="0.2">
      <c r="A12" s="12" t="s">
        <v>135</v>
      </c>
      <c r="B12" t="s">
        <v>140</v>
      </c>
      <c r="C12" s="26" t="s">
        <v>26</v>
      </c>
      <c r="D12" t="s">
        <v>148</v>
      </c>
      <c r="E12" t="s">
        <v>149</v>
      </c>
      <c r="F12" t="s">
        <v>150</v>
      </c>
      <c r="G12" t="s">
        <v>151</v>
      </c>
      <c r="H12" t="s">
        <v>152</v>
      </c>
      <c r="I12" t="s">
        <v>113</v>
      </c>
      <c r="J12" t="s">
        <v>153</v>
      </c>
    </row>
    <row r="13" spans="1:10" x14ac:dyDescent="0.2">
      <c r="A13" s="12" t="s">
        <v>136</v>
      </c>
      <c r="B13" t="s">
        <v>141</v>
      </c>
      <c r="C13" t="s">
        <v>148</v>
      </c>
      <c r="D13" s="26" t="s">
        <v>26</v>
      </c>
      <c r="E13" t="s">
        <v>112</v>
      </c>
      <c r="F13" t="s">
        <v>154</v>
      </c>
      <c r="G13" s="27" t="s">
        <v>155</v>
      </c>
      <c r="H13" t="s">
        <v>156</v>
      </c>
      <c r="I13" t="s">
        <v>157</v>
      </c>
      <c r="J13" t="s">
        <v>158</v>
      </c>
    </row>
    <row r="14" spans="1:10" x14ac:dyDescent="0.2">
      <c r="A14" s="12" t="s">
        <v>137</v>
      </c>
      <c r="B14" t="s">
        <v>142</v>
      </c>
      <c r="C14" t="s">
        <v>149</v>
      </c>
      <c r="D14" t="s">
        <v>112</v>
      </c>
      <c r="E14" s="26" t="s">
        <v>26</v>
      </c>
      <c r="F14" s="27" t="s">
        <v>159</v>
      </c>
      <c r="G14" t="s">
        <v>160</v>
      </c>
      <c r="H14" t="s">
        <v>161</v>
      </c>
      <c r="I14" t="s">
        <v>162</v>
      </c>
      <c r="J14" t="s">
        <v>163</v>
      </c>
    </row>
    <row r="15" spans="1:10" x14ac:dyDescent="0.2">
      <c r="A15" s="12" t="s">
        <v>138</v>
      </c>
      <c r="B15" t="s">
        <v>143</v>
      </c>
      <c r="C15" t="s">
        <v>150</v>
      </c>
      <c r="D15" t="s">
        <v>154</v>
      </c>
      <c r="E15" s="27" t="s">
        <v>159</v>
      </c>
      <c r="F15" s="26" t="s">
        <v>26</v>
      </c>
      <c r="G15" t="s">
        <v>164</v>
      </c>
      <c r="H15" t="s">
        <v>165</v>
      </c>
      <c r="I15" t="s">
        <v>166</v>
      </c>
      <c r="J15" t="s">
        <v>167</v>
      </c>
    </row>
    <row r="16" spans="1:10" x14ac:dyDescent="0.2">
      <c r="A16" s="12" t="s">
        <v>195</v>
      </c>
      <c r="B16" t="s">
        <v>144</v>
      </c>
      <c r="C16" t="s">
        <v>151</v>
      </c>
      <c r="D16" s="27" t="s">
        <v>155</v>
      </c>
      <c r="E16" t="s">
        <v>160</v>
      </c>
      <c r="F16" t="s">
        <v>164</v>
      </c>
      <c r="G16" s="26" t="s">
        <v>26</v>
      </c>
      <c r="H16" t="s">
        <v>114</v>
      </c>
      <c r="I16" t="s">
        <v>115</v>
      </c>
      <c r="J16" t="s">
        <v>116</v>
      </c>
    </row>
    <row r="17" spans="1:10" x14ac:dyDescent="0.2">
      <c r="A17" s="12" t="s">
        <v>105</v>
      </c>
      <c r="B17" s="27" t="s">
        <v>145</v>
      </c>
      <c r="C17" t="s">
        <v>152</v>
      </c>
      <c r="D17" t="s">
        <v>156</v>
      </c>
      <c r="E17" t="s">
        <v>161</v>
      </c>
      <c r="F17" t="s">
        <v>165</v>
      </c>
      <c r="G17" t="s">
        <v>114</v>
      </c>
      <c r="H17" s="26" t="s">
        <v>26</v>
      </c>
      <c r="I17" s="27" t="s">
        <v>117</v>
      </c>
      <c r="J17" s="27" t="s">
        <v>118</v>
      </c>
    </row>
    <row r="18" spans="1:10" x14ac:dyDescent="0.2">
      <c r="A18" s="12" t="s">
        <v>196</v>
      </c>
      <c r="B18" s="27" t="s">
        <v>146</v>
      </c>
      <c r="C18" t="s">
        <v>113</v>
      </c>
      <c r="D18" t="s">
        <v>157</v>
      </c>
      <c r="E18" t="s">
        <v>162</v>
      </c>
      <c r="F18" t="s">
        <v>166</v>
      </c>
      <c r="G18" t="s">
        <v>115</v>
      </c>
      <c r="H18" s="27" t="s">
        <v>117</v>
      </c>
      <c r="I18" s="26" t="s">
        <v>26</v>
      </c>
      <c r="J18" s="27" t="s">
        <v>119</v>
      </c>
    </row>
    <row r="19" spans="1:10" x14ac:dyDescent="0.2">
      <c r="A19" s="12" t="s">
        <v>220</v>
      </c>
      <c r="B19" s="27" t="s">
        <v>147</v>
      </c>
      <c r="C19" t="s">
        <v>153</v>
      </c>
      <c r="D19" t="s">
        <v>158</v>
      </c>
      <c r="E19" t="s">
        <v>163</v>
      </c>
      <c r="F19" t="s">
        <v>167</v>
      </c>
      <c r="G19" t="s">
        <v>116</v>
      </c>
      <c r="H19" s="27" t="s">
        <v>118</v>
      </c>
      <c r="I19" s="27" t="s">
        <v>119</v>
      </c>
      <c r="J19" s="26" t="s">
        <v>26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55"/>
  <sheetViews>
    <sheetView workbookViewId="0">
      <selection activeCell="A2" sqref="A2"/>
    </sheetView>
  </sheetViews>
  <sheetFormatPr baseColWidth="10" defaultRowHeight="16" x14ac:dyDescent="0.2"/>
  <sheetData>
    <row r="1" spans="1:29" x14ac:dyDescent="0.2">
      <c r="A1" t="s">
        <v>238</v>
      </c>
    </row>
    <row r="3" spans="1:29" x14ac:dyDescent="0.2">
      <c r="D3" s="12" t="s">
        <v>175</v>
      </c>
      <c r="L3" s="12" t="s">
        <v>187</v>
      </c>
      <c r="U3" s="12" t="s">
        <v>176</v>
      </c>
      <c r="AA3" s="12"/>
    </row>
    <row r="4" spans="1:29" x14ac:dyDescent="0.2">
      <c r="A4" t="s">
        <v>177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I4" t="s">
        <v>177</v>
      </c>
      <c r="J4" t="s">
        <v>178</v>
      </c>
      <c r="K4" t="s">
        <v>179</v>
      </c>
      <c r="L4" t="s">
        <v>180</v>
      </c>
      <c r="M4" t="s">
        <v>181</v>
      </c>
      <c r="N4" t="s">
        <v>182</v>
      </c>
      <c r="O4" t="s">
        <v>184</v>
      </c>
      <c r="P4" t="s">
        <v>183</v>
      </c>
      <c r="R4" t="s">
        <v>177</v>
      </c>
      <c r="S4" t="s">
        <v>178</v>
      </c>
      <c r="T4" t="s">
        <v>179</v>
      </c>
      <c r="U4" t="s">
        <v>180</v>
      </c>
      <c r="V4" t="s">
        <v>181</v>
      </c>
      <c r="W4" t="s">
        <v>182</v>
      </c>
      <c r="X4" t="s">
        <v>185</v>
      </c>
      <c r="Y4" t="s">
        <v>183</v>
      </c>
      <c r="AA4" t="s">
        <v>186</v>
      </c>
      <c r="AC4" t="s">
        <v>188</v>
      </c>
    </row>
    <row r="5" spans="1:29" x14ac:dyDescent="0.2">
      <c r="A5" t="s">
        <v>197</v>
      </c>
      <c r="B5" t="s">
        <v>86</v>
      </c>
      <c r="C5">
        <v>1.9942695551559</v>
      </c>
      <c r="D5">
        <v>7.2251729145588097</v>
      </c>
      <c r="E5">
        <v>0.78953125781547295</v>
      </c>
      <c r="F5">
        <v>45.630457495616703</v>
      </c>
      <c r="G5">
        <v>49.630457495616703</v>
      </c>
      <c r="I5" t="s">
        <v>197</v>
      </c>
      <c r="J5" t="s">
        <v>86</v>
      </c>
      <c r="K5">
        <v>-3.7167081446234098</v>
      </c>
      <c r="L5">
        <v>3.9810719330891602</v>
      </c>
      <c r="M5">
        <v>0.37783003622593703</v>
      </c>
      <c r="N5">
        <v>46.827529492687397</v>
      </c>
      <c r="O5" s="23">
        <v>9.9999999999999903E-8</v>
      </c>
      <c r="P5">
        <v>50.827529492687397</v>
      </c>
      <c r="R5" t="s">
        <v>197</v>
      </c>
      <c r="S5" t="s">
        <v>86</v>
      </c>
      <c r="T5">
        <v>-3.4915820653904301</v>
      </c>
      <c r="U5">
        <v>4.1618463741493699</v>
      </c>
      <c r="V5">
        <v>0.425853823612867</v>
      </c>
      <c r="W5">
        <v>46.697180083677701</v>
      </c>
      <c r="X5">
        <v>0.48724519375970998</v>
      </c>
      <c r="Y5">
        <v>50.697180083677701</v>
      </c>
      <c r="AA5" t="str">
        <f>IF(AND(G5-P5&lt;-2, G5-Y5&lt;-2), "BM", IF(OR(P5-G5&lt;-2, Y5-G5&lt;-2), IF(AND(P5-G5&lt;-2, Y5-G5&gt;-2), "P ", IF(AND(P5-G5&lt;-2, Y5-G5&lt;-2), "P &amp; OU ", "OU ")), " "))</f>
        <v xml:space="preserve"> </v>
      </c>
      <c r="AC5">
        <f>MIN(E5,M5,V5)</f>
        <v>0.37783003622593703</v>
      </c>
    </row>
    <row r="6" spans="1:29" x14ac:dyDescent="0.2">
      <c r="A6" t="s">
        <v>197</v>
      </c>
      <c r="B6" t="s">
        <v>2</v>
      </c>
      <c r="C6">
        <v>5.6446836742250301E-3</v>
      </c>
      <c r="D6">
        <v>1.19096879839765E-2</v>
      </c>
      <c r="E6">
        <v>0.64819599567858899</v>
      </c>
      <c r="F6">
        <v>45.448314119183898</v>
      </c>
      <c r="G6">
        <v>49.448314119183898</v>
      </c>
      <c r="I6" t="s">
        <v>197</v>
      </c>
      <c r="J6" t="s">
        <v>2</v>
      </c>
      <c r="K6">
        <v>-5.5024737375530498E-3</v>
      </c>
      <c r="L6">
        <v>6.5701372447274104E-3</v>
      </c>
      <c r="M6">
        <v>0.426623068460671</v>
      </c>
      <c r="N6">
        <v>47.021238571495303</v>
      </c>
      <c r="O6" s="23">
        <v>9.9999999999999903E-8</v>
      </c>
      <c r="P6">
        <v>51.021238571495303</v>
      </c>
      <c r="R6" t="s">
        <v>197</v>
      </c>
      <c r="S6" t="s">
        <v>2</v>
      </c>
      <c r="T6">
        <v>-5.0071575244488497E-3</v>
      </c>
      <c r="U6">
        <v>6.9425473537843901E-3</v>
      </c>
      <c r="V6">
        <v>0.49130640056390101</v>
      </c>
      <c r="W6">
        <v>46.898369685425699</v>
      </c>
      <c r="X6">
        <v>0.47262640145974499</v>
      </c>
      <c r="Y6">
        <v>50.898369685425699</v>
      </c>
      <c r="AA6" t="str">
        <f t="shared" ref="AA6:AA69" si="0">IF(AND(G6-P6&lt;-2, G6-Y6&lt;-2), "BM", IF(OR(P6-G6&lt;-2, Y6-G6&lt;-2), IF(AND(P6-G6&lt;-2, Y6-G6&gt;-2), "P ", IF(AND(P6-G6&lt;-2, Y6-G6&lt;-2), "P &amp; OU ", "OU ")), " "))</f>
        <v xml:space="preserve"> </v>
      </c>
      <c r="AC6">
        <f t="shared" ref="AC6:AC69" si="1">MIN(E6,M6,V6)</f>
        <v>0.426623068460671</v>
      </c>
    </row>
    <row r="7" spans="1:29" x14ac:dyDescent="0.2">
      <c r="A7" t="s">
        <v>197</v>
      </c>
      <c r="B7" t="s">
        <v>19</v>
      </c>
      <c r="C7">
        <v>-0.61607508044265202</v>
      </c>
      <c r="D7">
        <v>7.8780429172312401</v>
      </c>
      <c r="E7">
        <v>0.93958834609436803</v>
      </c>
      <c r="F7">
        <v>45.717597105428801</v>
      </c>
      <c r="G7">
        <v>49.717597105428801</v>
      </c>
      <c r="I7" t="s">
        <v>197</v>
      </c>
      <c r="J7" t="s">
        <v>19</v>
      </c>
      <c r="K7">
        <v>2.0639090393111998</v>
      </c>
      <c r="L7">
        <v>8.6985894155649692</v>
      </c>
      <c r="M7">
        <v>0.818411066296589</v>
      </c>
      <c r="N7">
        <v>47.736772376648702</v>
      </c>
      <c r="O7">
        <v>0.209915964304415</v>
      </c>
      <c r="P7">
        <v>51.736772376648702</v>
      </c>
      <c r="R7" t="s">
        <v>197</v>
      </c>
      <c r="S7" t="s">
        <v>19</v>
      </c>
      <c r="T7">
        <v>0.67246358178630306</v>
      </c>
      <c r="U7">
        <v>8.5494702017895694</v>
      </c>
      <c r="V7">
        <v>0.93923840009339399</v>
      </c>
      <c r="W7">
        <v>47.186911919739401</v>
      </c>
      <c r="X7">
        <v>0.15415721477972799</v>
      </c>
      <c r="Y7">
        <v>51.186911919739401</v>
      </c>
      <c r="AA7" t="str">
        <f t="shared" si="0"/>
        <v xml:space="preserve"> </v>
      </c>
      <c r="AC7">
        <f t="shared" si="1"/>
        <v>0.818411066296589</v>
      </c>
    </row>
    <row r="8" spans="1:29" x14ac:dyDescent="0.2">
      <c r="A8" t="s">
        <v>197</v>
      </c>
      <c r="B8" t="s">
        <v>20</v>
      </c>
      <c r="C8">
        <v>-3.2978567133585499</v>
      </c>
      <c r="D8">
        <v>3.2101242644881398</v>
      </c>
      <c r="E8">
        <v>0.33432215348968503</v>
      </c>
      <c r="F8">
        <v>44.486033827405599</v>
      </c>
      <c r="G8">
        <v>48.486033827405599</v>
      </c>
      <c r="I8" t="s">
        <v>197</v>
      </c>
      <c r="J8" t="s">
        <v>20</v>
      </c>
      <c r="K8">
        <v>-4.6855941772036296</v>
      </c>
      <c r="L8">
        <v>1.9991666700642401</v>
      </c>
      <c r="M8">
        <v>4.7137189853540602E-2</v>
      </c>
      <c r="N8">
        <v>42.634166230395103</v>
      </c>
      <c r="O8" s="23">
        <v>9.9999999999999903E-8</v>
      </c>
      <c r="P8">
        <v>46.634166230395103</v>
      </c>
      <c r="R8" t="s">
        <v>197</v>
      </c>
      <c r="S8" t="s">
        <v>20</v>
      </c>
      <c r="T8">
        <v>-4.6561817604484297</v>
      </c>
      <c r="U8">
        <v>2.01081630044182</v>
      </c>
      <c r="V8">
        <v>4.9259064216810901E-2</v>
      </c>
      <c r="W8">
        <v>42.610969536321697</v>
      </c>
      <c r="X8">
        <v>0.88900491518506397</v>
      </c>
      <c r="Y8">
        <v>46.610969536321697</v>
      </c>
      <c r="AA8" t="str">
        <f t="shared" si="0"/>
        <v xml:space="preserve"> </v>
      </c>
      <c r="AC8">
        <f t="shared" si="1"/>
        <v>4.7137189853540602E-2</v>
      </c>
    </row>
    <row r="9" spans="1:29" x14ac:dyDescent="0.2">
      <c r="A9" t="s">
        <v>197</v>
      </c>
      <c r="B9" t="s">
        <v>21</v>
      </c>
      <c r="C9">
        <v>1.5712226284771099E-3</v>
      </c>
      <c r="D9">
        <v>1.00791602583704E-2</v>
      </c>
      <c r="E9">
        <v>0.87998293827339502</v>
      </c>
      <c r="F9">
        <v>45.694908147035299</v>
      </c>
      <c r="G9">
        <v>49.694908147035299</v>
      </c>
      <c r="I9" t="s">
        <v>197</v>
      </c>
      <c r="J9" t="s">
        <v>21</v>
      </c>
      <c r="K9">
        <v>-9.4600226928827601E-3</v>
      </c>
      <c r="L9">
        <v>9.6244960810919402E-3</v>
      </c>
      <c r="M9">
        <v>0.35443924716308001</v>
      </c>
      <c r="N9">
        <v>46.721556772939003</v>
      </c>
      <c r="O9" s="23">
        <v>9.9999999999999903E-8</v>
      </c>
      <c r="P9">
        <v>50.721556772939003</v>
      </c>
      <c r="R9" t="s">
        <v>197</v>
      </c>
      <c r="S9" t="s">
        <v>21</v>
      </c>
      <c r="T9">
        <v>-8.7309191446757195E-3</v>
      </c>
      <c r="U9">
        <v>9.6290868090394503E-3</v>
      </c>
      <c r="V9">
        <v>0.39104554008425502</v>
      </c>
      <c r="W9">
        <v>46.6479764410184</v>
      </c>
      <c r="X9">
        <v>0.613071506966678</v>
      </c>
      <c r="Y9">
        <v>50.6479764410184</v>
      </c>
      <c r="AA9" t="str">
        <f t="shared" si="0"/>
        <v xml:space="preserve"> </v>
      </c>
      <c r="AC9">
        <f t="shared" si="1"/>
        <v>0.35443924716308001</v>
      </c>
    </row>
    <row r="10" spans="1:29" x14ac:dyDescent="0.2">
      <c r="A10" t="s">
        <v>197</v>
      </c>
      <c r="B10" t="s">
        <v>198</v>
      </c>
      <c r="C10">
        <v>7.77325088564991E-2</v>
      </c>
      <c r="D10">
        <v>0.65490933508459004</v>
      </c>
      <c r="E10">
        <v>0.90844560115907202</v>
      </c>
      <c r="F10">
        <v>45.707644279827001</v>
      </c>
      <c r="G10">
        <v>49.707644279827001</v>
      </c>
      <c r="I10" t="s">
        <v>197</v>
      </c>
      <c r="J10" t="s">
        <v>198</v>
      </c>
      <c r="K10">
        <v>-0.61133518527361996</v>
      </c>
      <c r="L10">
        <v>0.43428237658308999</v>
      </c>
      <c r="M10">
        <v>0.196871453567113</v>
      </c>
      <c r="N10">
        <v>45.648653756440403</v>
      </c>
      <c r="O10" s="23">
        <v>9.9999999999999903E-8</v>
      </c>
      <c r="P10">
        <v>49.648653756440403</v>
      </c>
      <c r="R10" t="s">
        <v>197</v>
      </c>
      <c r="S10" t="s">
        <v>198</v>
      </c>
      <c r="T10">
        <v>-0.59774991342446104</v>
      </c>
      <c r="U10">
        <v>0.43595826374834101</v>
      </c>
      <c r="V10">
        <v>0.20756538668865801</v>
      </c>
      <c r="W10">
        <v>45.632995369298101</v>
      </c>
      <c r="X10">
        <v>0.89966161652459598</v>
      </c>
      <c r="Y10">
        <v>49.632995369298101</v>
      </c>
      <c r="AA10" t="str">
        <f t="shared" si="0"/>
        <v xml:space="preserve"> </v>
      </c>
      <c r="AC10">
        <f t="shared" si="1"/>
        <v>0.196871453567113</v>
      </c>
    </row>
    <row r="11" spans="1:29" x14ac:dyDescent="0.2">
      <c r="A11" t="s">
        <v>197</v>
      </c>
      <c r="B11" t="s">
        <v>199</v>
      </c>
      <c r="C11">
        <v>5.3398422686940797E-2</v>
      </c>
      <c r="D11">
        <v>4.1574201684733102E-2</v>
      </c>
      <c r="E11">
        <v>0.23494064375066301</v>
      </c>
      <c r="F11">
        <v>43.850369757861898</v>
      </c>
      <c r="G11">
        <v>47.850369757861898</v>
      </c>
      <c r="I11" t="s">
        <v>197</v>
      </c>
      <c r="J11" t="s">
        <v>199</v>
      </c>
      <c r="K11">
        <v>4.8637107503410298E-2</v>
      </c>
      <c r="L11">
        <v>4.5972582382843803E-2</v>
      </c>
      <c r="M11">
        <v>0.32097059977852699</v>
      </c>
      <c r="N11">
        <v>46.552174802239598</v>
      </c>
      <c r="O11" s="23">
        <v>9.9999999999999903E-8</v>
      </c>
      <c r="P11">
        <v>50.552174802239598</v>
      </c>
      <c r="R11" t="s">
        <v>197</v>
      </c>
      <c r="S11" t="s">
        <v>199</v>
      </c>
      <c r="T11">
        <v>5.0867057552654998E-2</v>
      </c>
      <c r="U11">
        <v>4.3562019531144101E-2</v>
      </c>
      <c r="V11">
        <v>0.27655172547872597</v>
      </c>
      <c r="W11">
        <v>45.814772278183</v>
      </c>
      <c r="X11">
        <v>5.2743863198522201E-2</v>
      </c>
      <c r="Y11">
        <v>49.814772278183</v>
      </c>
      <c r="AA11" t="str">
        <f t="shared" si="0"/>
        <v xml:space="preserve"> </v>
      </c>
      <c r="AC11">
        <f t="shared" si="1"/>
        <v>0.23494064375066301</v>
      </c>
    </row>
    <row r="12" spans="1:29" x14ac:dyDescent="0.2">
      <c r="A12" t="s">
        <v>197</v>
      </c>
      <c r="B12" t="s">
        <v>200</v>
      </c>
      <c r="C12">
        <v>1.03232808970416E-2</v>
      </c>
      <c r="D12">
        <v>7.4389544326010706E-2</v>
      </c>
      <c r="E12">
        <v>0.89305902987911601</v>
      </c>
      <c r="F12">
        <v>45.701194935630703</v>
      </c>
      <c r="G12">
        <v>49.701194935630703</v>
      </c>
      <c r="I12" t="s">
        <v>197</v>
      </c>
      <c r="J12" t="s">
        <v>200</v>
      </c>
      <c r="K12">
        <v>-5.9287607916260102E-2</v>
      </c>
      <c r="L12">
        <v>4.1967827114576702E-2</v>
      </c>
      <c r="M12">
        <v>0.195447103939039</v>
      </c>
      <c r="N12">
        <v>45.634532021767903</v>
      </c>
      <c r="O12" s="23">
        <v>9.9999999999999903E-8</v>
      </c>
      <c r="P12">
        <v>49.634532021767903</v>
      </c>
      <c r="R12" t="s">
        <v>197</v>
      </c>
      <c r="S12" t="s">
        <v>200</v>
      </c>
      <c r="T12">
        <v>-5.9287221883686701E-2</v>
      </c>
      <c r="U12">
        <v>4.1967900418091203E-2</v>
      </c>
      <c r="V12">
        <v>0.19545041574966099</v>
      </c>
      <c r="W12">
        <v>45.634532262835997</v>
      </c>
      <c r="X12">
        <v>4.23336542499095</v>
      </c>
      <c r="Y12">
        <v>49.634532262835997</v>
      </c>
      <c r="AA12" t="str">
        <f t="shared" si="0"/>
        <v xml:space="preserve"> </v>
      </c>
      <c r="AC12">
        <f t="shared" si="1"/>
        <v>0.195447103939039</v>
      </c>
    </row>
    <row r="13" spans="1:29" x14ac:dyDescent="0.2">
      <c r="A13" t="s">
        <v>197</v>
      </c>
      <c r="B13" t="s">
        <v>201</v>
      </c>
      <c r="C13">
        <v>2.0926463269008802E-3</v>
      </c>
      <c r="D13">
        <v>9.6503901123257997E-3</v>
      </c>
      <c r="E13">
        <v>0.83375631335542999</v>
      </c>
      <c r="F13">
        <v>45.666632989573301</v>
      </c>
      <c r="G13">
        <v>49.666632989573301</v>
      </c>
      <c r="I13" t="s">
        <v>197</v>
      </c>
      <c r="J13" t="s">
        <v>201</v>
      </c>
      <c r="K13">
        <v>6.4705451138404504E-3</v>
      </c>
      <c r="L13">
        <v>1.0701839281755301E-2</v>
      </c>
      <c r="M13">
        <v>0.56218345354369803</v>
      </c>
      <c r="N13">
        <v>47.350330790480598</v>
      </c>
      <c r="O13">
        <v>0.16469629075546999</v>
      </c>
      <c r="P13">
        <v>51.350330790480598</v>
      </c>
      <c r="R13" t="s">
        <v>197</v>
      </c>
      <c r="S13" t="s">
        <v>201</v>
      </c>
      <c r="T13">
        <v>5.5716980493789496E-3</v>
      </c>
      <c r="U13">
        <v>1.0527849417590799E-2</v>
      </c>
      <c r="V13">
        <v>0.61100907243050995</v>
      </c>
      <c r="W13">
        <v>46.882009896642899</v>
      </c>
      <c r="X13">
        <v>0.206991815952251</v>
      </c>
      <c r="Y13">
        <v>50.882009896642899</v>
      </c>
      <c r="AA13" t="str">
        <f t="shared" si="0"/>
        <v xml:space="preserve"> </v>
      </c>
      <c r="AC13">
        <f t="shared" si="1"/>
        <v>0.56218345354369803</v>
      </c>
    </row>
    <row r="14" spans="1:29" x14ac:dyDescent="0.2">
      <c r="A14" t="s">
        <v>197</v>
      </c>
      <c r="B14" t="s">
        <v>202</v>
      </c>
      <c r="C14">
        <v>0.242526838857723</v>
      </c>
      <c r="D14">
        <v>0.51151117530429102</v>
      </c>
      <c r="E14">
        <v>0.64807269142005997</v>
      </c>
      <c r="F14">
        <v>45.448105935754299</v>
      </c>
      <c r="G14">
        <v>49.448105935754299</v>
      </c>
      <c r="I14" t="s">
        <v>197</v>
      </c>
      <c r="J14" t="s">
        <v>202</v>
      </c>
      <c r="K14">
        <v>-0.34899493309409602</v>
      </c>
      <c r="L14">
        <v>0.276781190655564</v>
      </c>
      <c r="M14">
        <v>0.242871005962944</v>
      </c>
      <c r="N14">
        <v>46.048993705319901</v>
      </c>
      <c r="O14" s="23">
        <v>9.9999999999999903E-8</v>
      </c>
      <c r="P14">
        <v>50.048993705319901</v>
      </c>
      <c r="R14" t="s">
        <v>197</v>
      </c>
      <c r="S14" t="s">
        <v>202</v>
      </c>
      <c r="T14">
        <v>-0.34351970964400202</v>
      </c>
      <c r="U14">
        <v>0.27867540205586999</v>
      </c>
      <c r="V14">
        <v>0.25268640167769402</v>
      </c>
      <c r="W14">
        <v>46.0459641219934</v>
      </c>
      <c r="X14">
        <v>1.07761620574336</v>
      </c>
      <c r="Y14">
        <v>50.0459641219934</v>
      </c>
      <c r="AA14" t="str">
        <f t="shared" si="0"/>
        <v xml:space="preserve"> </v>
      </c>
      <c r="AC14">
        <f t="shared" si="1"/>
        <v>0.242871005962944</v>
      </c>
    </row>
    <row r="15" spans="1:29" x14ac:dyDescent="0.2">
      <c r="A15" t="s">
        <v>197</v>
      </c>
      <c r="B15" t="s">
        <v>203</v>
      </c>
      <c r="C15">
        <v>1.0957500857473399E-3</v>
      </c>
      <c r="D15">
        <v>1.0952387587292399E-3</v>
      </c>
      <c r="E15">
        <v>0.346381033344904</v>
      </c>
      <c r="F15">
        <v>44.546370516604703</v>
      </c>
      <c r="G15">
        <v>48.546370516604703</v>
      </c>
      <c r="I15" t="s">
        <v>197</v>
      </c>
      <c r="J15" t="s">
        <v>203</v>
      </c>
      <c r="K15">
        <v>1.02362862642293E-3</v>
      </c>
      <c r="L15">
        <v>1.0414521617358901E-3</v>
      </c>
      <c r="M15">
        <v>0.35445085918265101</v>
      </c>
      <c r="N15">
        <v>46.7216117585549</v>
      </c>
      <c r="O15" s="23">
        <v>9.9999999999999903E-8</v>
      </c>
      <c r="P15">
        <v>50.7216117585549</v>
      </c>
      <c r="R15" t="s">
        <v>197</v>
      </c>
      <c r="S15" t="s">
        <v>203</v>
      </c>
      <c r="T15">
        <v>9.8626444692808107E-4</v>
      </c>
      <c r="U15">
        <v>1.1486522444745699E-3</v>
      </c>
      <c r="V15">
        <v>0.41552979650295402</v>
      </c>
      <c r="W15">
        <v>46.313163538254003</v>
      </c>
      <c r="X15">
        <v>0.148888321419366</v>
      </c>
      <c r="Y15">
        <v>50.313163538254003</v>
      </c>
      <c r="AA15" t="str">
        <f t="shared" si="0"/>
        <v xml:space="preserve"> </v>
      </c>
      <c r="AC15">
        <f t="shared" si="1"/>
        <v>0.346381033344904</v>
      </c>
    </row>
    <row r="16" spans="1:29" x14ac:dyDescent="0.2">
      <c r="A16" t="s">
        <v>197</v>
      </c>
      <c r="B16" t="s">
        <v>204</v>
      </c>
      <c r="C16">
        <v>0.150930755933598</v>
      </c>
      <c r="D16">
        <v>1.3114897281659801</v>
      </c>
      <c r="E16">
        <v>0.91121511256828203</v>
      </c>
      <c r="F16">
        <v>45.708696975570497</v>
      </c>
      <c r="G16">
        <v>49.708696975570497</v>
      </c>
      <c r="I16" t="s">
        <v>197</v>
      </c>
      <c r="J16" t="s">
        <v>204</v>
      </c>
      <c r="K16">
        <v>-1.67153619887489</v>
      </c>
      <c r="L16">
        <v>1.5739693046399701</v>
      </c>
      <c r="M16">
        <v>0.319245765766488</v>
      </c>
      <c r="N16">
        <v>46.542813496475702</v>
      </c>
      <c r="O16" s="23">
        <v>9.9999999999999903E-8</v>
      </c>
      <c r="P16">
        <v>50.542813496475702</v>
      </c>
      <c r="R16" t="s">
        <v>197</v>
      </c>
      <c r="S16" t="s">
        <v>204</v>
      </c>
      <c r="T16">
        <v>-1.67150416052591</v>
      </c>
      <c r="U16">
        <v>1.5739719935560701</v>
      </c>
      <c r="V16">
        <v>0.319255237178523</v>
      </c>
      <c r="W16">
        <v>46.5428323492076</v>
      </c>
      <c r="X16">
        <v>4.23336542499095</v>
      </c>
      <c r="Y16">
        <v>50.5428323492076</v>
      </c>
      <c r="AA16" t="str">
        <f t="shared" si="0"/>
        <v xml:space="preserve"> </v>
      </c>
      <c r="AC16">
        <f t="shared" si="1"/>
        <v>0.319245765766488</v>
      </c>
    </row>
    <row r="17" spans="1:29" x14ac:dyDescent="0.2">
      <c r="A17" t="s">
        <v>197</v>
      </c>
      <c r="B17" t="s">
        <v>206</v>
      </c>
      <c r="C17">
        <v>6.8293616785112699E-2</v>
      </c>
      <c r="D17">
        <v>0.15470119938759899</v>
      </c>
      <c r="E17">
        <v>0.67057203863689296</v>
      </c>
      <c r="F17">
        <v>45.4845551994839</v>
      </c>
      <c r="G17">
        <v>49.4845551994839</v>
      </c>
      <c r="I17" t="s">
        <v>197</v>
      </c>
      <c r="J17" t="s">
        <v>206</v>
      </c>
      <c r="K17">
        <v>8.53960490527257E-2</v>
      </c>
      <c r="L17">
        <v>0.159253961188317</v>
      </c>
      <c r="M17">
        <v>0.60638699890754</v>
      </c>
      <c r="N17">
        <v>47.508551064461798</v>
      </c>
      <c r="O17" s="23">
        <v>9.9999999999999903E-8</v>
      </c>
      <c r="P17">
        <v>51.508551064461798</v>
      </c>
      <c r="R17" t="s">
        <v>197</v>
      </c>
      <c r="S17" t="s">
        <v>206</v>
      </c>
      <c r="T17">
        <v>5.8311626087115001E-2</v>
      </c>
      <c r="U17">
        <v>0.164532704515612</v>
      </c>
      <c r="V17">
        <v>0.73219391908932496</v>
      </c>
      <c r="W17">
        <v>47.038911066651401</v>
      </c>
      <c r="X17">
        <v>0.154935179348277</v>
      </c>
      <c r="Y17">
        <v>51.038911066651401</v>
      </c>
      <c r="AA17" t="str">
        <f t="shared" si="0"/>
        <v xml:space="preserve"> </v>
      </c>
      <c r="AC17">
        <f t="shared" si="1"/>
        <v>0.60638699890754</v>
      </c>
    </row>
    <row r="18" spans="1:29" x14ac:dyDescent="0.2">
      <c r="A18" t="s">
        <v>197</v>
      </c>
      <c r="B18" t="s">
        <v>205</v>
      </c>
      <c r="C18">
        <v>-0.121371790742487</v>
      </c>
      <c r="D18">
        <v>2.8397457443268199</v>
      </c>
      <c r="E18">
        <v>0.96695599727924997</v>
      </c>
      <c r="F18">
        <v>45.722955372356097</v>
      </c>
      <c r="G18">
        <v>49.722955372356097</v>
      </c>
      <c r="I18" t="s">
        <v>197</v>
      </c>
      <c r="J18" t="s">
        <v>205</v>
      </c>
      <c r="K18">
        <v>-2.6370778815384002</v>
      </c>
      <c r="L18">
        <v>2.02094035350818</v>
      </c>
      <c r="M18">
        <v>0.22821619807448501</v>
      </c>
      <c r="N18">
        <v>45.932035185919297</v>
      </c>
      <c r="O18" s="23">
        <v>9.9999999999999903E-8</v>
      </c>
      <c r="P18">
        <v>49.932035185919297</v>
      </c>
      <c r="R18" t="s">
        <v>197</v>
      </c>
      <c r="S18" t="s">
        <v>205</v>
      </c>
      <c r="T18">
        <v>-2.6370665469774401</v>
      </c>
      <c r="U18">
        <v>2.0209573207955098</v>
      </c>
      <c r="V18">
        <v>0.228221574029075</v>
      </c>
      <c r="W18">
        <v>45.932047004433301</v>
      </c>
      <c r="X18">
        <v>4.23336542499095</v>
      </c>
      <c r="Y18">
        <v>49.932047004433301</v>
      </c>
      <c r="AA18" t="str">
        <f t="shared" si="0"/>
        <v xml:space="preserve"> </v>
      </c>
      <c r="AC18">
        <f t="shared" si="1"/>
        <v>0.22821619807448501</v>
      </c>
    </row>
    <row r="19" spans="1:29" x14ac:dyDescent="0.2">
      <c r="A19" t="s">
        <v>197</v>
      </c>
      <c r="B19" t="s">
        <v>207</v>
      </c>
      <c r="C19">
        <v>5.2549114870090998E-3</v>
      </c>
      <c r="D19">
        <v>1.1466621350279101E-2</v>
      </c>
      <c r="E19">
        <v>0.65894408774091495</v>
      </c>
      <c r="F19">
        <v>45.466100821026103</v>
      </c>
      <c r="G19">
        <v>49.466100821026103</v>
      </c>
      <c r="I19" t="s">
        <v>197</v>
      </c>
      <c r="J19" t="s">
        <v>207</v>
      </c>
      <c r="K19">
        <v>1.9802924390145901E-2</v>
      </c>
      <c r="L19">
        <v>1.4012696560717301E-2</v>
      </c>
      <c r="M19">
        <v>0.19529921931844599</v>
      </c>
      <c r="N19">
        <v>45.633054109556703</v>
      </c>
      <c r="O19" s="23">
        <v>4.1760557019643299E-6</v>
      </c>
      <c r="P19">
        <v>49.633054109556703</v>
      </c>
      <c r="R19" t="s">
        <v>197</v>
      </c>
      <c r="S19" t="s">
        <v>207</v>
      </c>
      <c r="T19">
        <v>1.9802804730538401E-2</v>
      </c>
      <c r="U19">
        <v>1.4012715216178801E-2</v>
      </c>
      <c r="V19">
        <v>0.195302175731181</v>
      </c>
      <c r="W19">
        <v>45.633055656342698</v>
      </c>
      <c r="X19">
        <v>4.23336542499095</v>
      </c>
      <c r="Y19">
        <v>49.633055656342698</v>
      </c>
      <c r="AA19" t="str">
        <f t="shared" si="0"/>
        <v xml:space="preserve"> </v>
      </c>
      <c r="AC19">
        <f t="shared" si="1"/>
        <v>0.19529921931844599</v>
      </c>
    </row>
    <row r="20" spans="1:29" x14ac:dyDescent="0.2">
      <c r="A20" t="s">
        <v>197</v>
      </c>
      <c r="B20" t="s">
        <v>208</v>
      </c>
      <c r="C20">
        <v>-0.53401687949998899</v>
      </c>
      <c r="D20">
        <v>0.73224777660418405</v>
      </c>
      <c r="E20">
        <v>0.48662785247610502</v>
      </c>
      <c r="F20">
        <v>45.081585035952898</v>
      </c>
      <c r="G20">
        <v>49.081585035952898</v>
      </c>
      <c r="I20" t="s">
        <v>197</v>
      </c>
      <c r="J20" t="s">
        <v>208</v>
      </c>
      <c r="K20">
        <v>-1.0002402101443999</v>
      </c>
      <c r="L20">
        <v>0.84454162231337704</v>
      </c>
      <c r="M20">
        <v>0.27026255161319002</v>
      </c>
      <c r="N20">
        <v>46.246105649755599</v>
      </c>
      <c r="O20" s="23">
        <v>9.9999999999999903E-8</v>
      </c>
      <c r="P20">
        <v>50.246105649755599</v>
      </c>
      <c r="R20" t="s">
        <v>197</v>
      </c>
      <c r="S20" t="s">
        <v>208</v>
      </c>
      <c r="T20">
        <v>-1.0002345038209699</v>
      </c>
      <c r="U20">
        <v>0.84454681719790303</v>
      </c>
      <c r="V20">
        <v>0.27026780084183799</v>
      </c>
      <c r="W20">
        <v>46.246108290137201</v>
      </c>
      <c r="X20">
        <v>4.23336542499095</v>
      </c>
      <c r="Y20">
        <v>50.246108290137201</v>
      </c>
      <c r="AA20" t="str">
        <f t="shared" si="0"/>
        <v xml:space="preserve"> </v>
      </c>
      <c r="AC20">
        <f t="shared" si="1"/>
        <v>0.27026255161319002</v>
      </c>
    </row>
    <row r="21" spans="1:29" x14ac:dyDescent="0.2">
      <c r="A21" t="s">
        <v>197</v>
      </c>
      <c r="B21" t="s">
        <v>209</v>
      </c>
      <c r="C21">
        <v>-4.8772644724925998E-3</v>
      </c>
      <c r="D21">
        <v>4.5722564028538E-3</v>
      </c>
      <c r="E21">
        <v>0.31723397439943302</v>
      </c>
      <c r="F21">
        <v>44.395384193730102</v>
      </c>
      <c r="G21">
        <v>48.395384193730102</v>
      </c>
      <c r="I21" t="s">
        <v>197</v>
      </c>
      <c r="J21" t="s">
        <v>209</v>
      </c>
      <c r="K21">
        <v>-4.8772644724925998E-3</v>
      </c>
      <c r="L21">
        <v>4.5722564028538E-3</v>
      </c>
      <c r="M21">
        <v>0.31723397439943302</v>
      </c>
      <c r="N21">
        <v>46.395384193730102</v>
      </c>
      <c r="O21">
        <v>1</v>
      </c>
      <c r="P21">
        <v>50.395384193730102</v>
      </c>
      <c r="R21" t="s">
        <v>197</v>
      </c>
      <c r="S21" t="s">
        <v>209</v>
      </c>
      <c r="T21">
        <v>-4.6205857836937696E-3</v>
      </c>
      <c r="U21">
        <v>4.8160169319502299E-3</v>
      </c>
      <c r="V21">
        <v>0.36544169789036002</v>
      </c>
      <c r="W21">
        <v>46.3413324530163</v>
      </c>
      <c r="X21">
        <v>4.4084330339508399E-2</v>
      </c>
      <c r="Y21">
        <v>50.3413324530163</v>
      </c>
      <c r="AA21" t="str">
        <f t="shared" si="0"/>
        <v xml:space="preserve"> </v>
      </c>
      <c r="AC21">
        <f t="shared" si="1"/>
        <v>0.31723397439943302</v>
      </c>
    </row>
    <row r="22" spans="1:29" x14ac:dyDescent="0.2">
      <c r="A22" t="s">
        <v>197</v>
      </c>
      <c r="B22" t="s">
        <v>210</v>
      </c>
      <c r="C22">
        <v>-2.1437610244659799E-2</v>
      </c>
      <c r="D22">
        <v>1.0384063698655599</v>
      </c>
      <c r="E22">
        <v>0.98403468869558397</v>
      </c>
      <c r="F22">
        <v>45.7247057945265</v>
      </c>
      <c r="G22">
        <v>49.7247057945265</v>
      </c>
      <c r="I22" t="s">
        <v>197</v>
      </c>
      <c r="J22" t="s">
        <v>210</v>
      </c>
      <c r="K22">
        <v>0.45657667335577701</v>
      </c>
      <c r="L22">
        <v>1.5619398898479999</v>
      </c>
      <c r="M22">
        <v>0.77748427567323197</v>
      </c>
      <c r="N22">
        <v>47.692176399161099</v>
      </c>
      <c r="O22">
        <v>0.100470135970158</v>
      </c>
      <c r="P22">
        <v>51.692176399161099</v>
      </c>
      <c r="R22" t="s">
        <v>197</v>
      </c>
      <c r="S22" t="s">
        <v>210</v>
      </c>
      <c r="T22">
        <v>0.21235586965210199</v>
      </c>
      <c r="U22">
        <v>1.2698195483626999</v>
      </c>
      <c r="V22">
        <v>0.87133657153063304</v>
      </c>
      <c r="W22">
        <v>47.163059211665697</v>
      </c>
      <c r="X22">
        <v>0.16836720155183801</v>
      </c>
      <c r="Y22">
        <v>51.163059211665697</v>
      </c>
      <c r="AA22" t="str">
        <f t="shared" si="0"/>
        <v xml:space="preserve"> </v>
      </c>
      <c r="AC22">
        <f t="shared" si="1"/>
        <v>0.77748427567323197</v>
      </c>
    </row>
    <row r="23" spans="1:29" x14ac:dyDescent="0.2">
      <c r="A23" t="s">
        <v>197</v>
      </c>
      <c r="B23" t="s">
        <v>4</v>
      </c>
      <c r="C23">
        <v>-0.82656888499619696</v>
      </c>
      <c r="D23">
        <v>0.97942783123646204</v>
      </c>
      <c r="E23">
        <v>0.42322410568916102</v>
      </c>
      <c r="F23">
        <v>44.8723893451116</v>
      </c>
      <c r="G23">
        <v>48.8723893451116</v>
      </c>
      <c r="I23" t="s">
        <v>197</v>
      </c>
      <c r="J23" t="s">
        <v>4</v>
      </c>
      <c r="K23">
        <v>-0.82656888499619696</v>
      </c>
      <c r="L23">
        <v>0.97942783123646204</v>
      </c>
      <c r="M23">
        <v>0.42322410568916102</v>
      </c>
      <c r="N23">
        <v>46.8723893451116</v>
      </c>
      <c r="O23">
        <v>1</v>
      </c>
      <c r="P23">
        <v>50.8723893451116</v>
      </c>
      <c r="R23" t="s">
        <v>197</v>
      </c>
      <c r="S23" t="s">
        <v>4</v>
      </c>
      <c r="T23">
        <v>-0.808144758648491</v>
      </c>
      <c r="U23">
        <v>1.07684286591562</v>
      </c>
      <c r="V23">
        <v>0.4744600671766</v>
      </c>
      <c r="W23">
        <v>46.559596658433001</v>
      </c>
      <c r="X23">
        <v>9.9691788608280998E-2</v>
      </c>
      <c r="Y23">
        <v>50.559596658433001</v>
      </c>
      <c r="AA23" t="str">
        <f t="shared" si="0"/>
        <v xml:space="preserve"> </v>
      </c>
      <c r="AC23">
        <f t="shared" si="1"/>
        <v>0.42322410568916102</v>
      </c>
    </row>
    <row r="24" spans="1:29" x14ac:dyDescent="0.2">
      <c r="A24" t="s">
        <v>197</v>
      </c>
      <c r="B24" t="s">
        <v>3</v>
      </c>
      <c r="C24">
        <v>9.5337913076739902</v>
      </c>
      <c r="D24">
        <v>10.0681738932578</v>
      </c>
      <c r="E24">
        <v>0.37139811935568001</v>
      </c>
      <c r="F24">
        <v>44.662889894703703</v>
      </c>
      <c r="G24">
        <v>48.662889894703703</v>
      </c>
      <c r="I24" t="s">
        <v>197</v>
      </c>
      <c r="J24" t="s">
        <v>3</v>
      </c>
      <c r="K24">
        <v>9.5337913076739902</v>
      </c>
      <c r="L24">
        <v>10.0681738932578</v>
      </c>
      <c r="M24">
        <v>0.37139811935568001</v>
      </c>
      <c r="N24">
        <v>46.662889894703703</v>
      </c>
      <c r="O24">
        <v>1</v>
      </c>
      <c r="P24">
        <v>50.662889894703703</v>
      </c>
      <c r="R24" t="s">
        <v>197</v>
      </c>
      <c r="S24" t="s">
        <v>3</v>
      </c>
      <c r="T24">
        <v>9.1564111470164704</v>
      </c>
      <c r="U24">
        <v>10.8125243610193</v>
      </c>
      <c r="V24">
        <v>0.42169621695222698</v>
      </c>
      <c r="W24">
        <v>46.426388407443099</v>
      </c>
      <c r="X24">
        <v>8.0844491923574804E-2</v>
      </c>
      <c r="Y24">
        <v>50.426388407443099</v>
      </c>
      <c r="AA24" t="str">
        <f t="shared" si="0"/>
        <v xml:space="preserve"> </v>
      </c>
      <c r="AC24">
        <f t="shared" si="1"/>
        <v>0.37139811935568001</v>
      </c>
    </row>
    <row r="25" spans="1:29" x14ac:dyDescent="0.2">
      <c r="A25" t="s">
        <v>197</v>
      </c>
      <c r="B25" t="s">
        <v>211</v>
      </c>
      <c r="C25">
        <v>0.77031482831487996</v>
      </c>
      <c r="D25">
        <v>1.8048154727996599</v>
      </c>
      <c r="E25">
        <v>0.68077100042566496</v>
      </c>
      <c r="F25">
        <v>45.500083038772203</v>
      </c>
      <c r="G25">
        <v>49.500083038772203</v>
      </c>
      <c r="I25" t="s">
        <v>197</v>
      </c>
      <c r="J25" t="s">
        <v>211</v>
      </c>
      <c r="K25">
        <v>-0.26679501050558901</v>
      </c>
      <c r="L25">
        <v>3.44163283444643</v>
      </c>
      <c r="M25">
        <v>0.94011373546761101</v>
      </c>
      <c r="N25">
        <v>47.788547515369999</v>
      </c>
      <c r="O25">
        <v>0.116151761185509</v>
      </c>
      <c r="P25">
        <v>51.788547515369999</v>
      </c>
      <c r="R25" t="s">
        <v>197</v>
      </c>
      <c r="S25" t="s">
        <v>211</v>
      </c>
      <c r="T25">
        <v>0.61628150828226502</v>
      </c>
      <c r="U25">
        <v>2.2580824963149899</v>
      </c>
      <c r="V25">
        <v>0.79182559667155406</v>
      </c>
      <c r="W25">
        <v>47.110216758480703</v>
      </c>
      <c r="X25">
        <v>0.12818303227167699</v>
      </c>
      <c r="Y25">
        <v>51.110216758480703</v>
      </c>
      <c r="AA25" t="str">
        <f t="shared" si="0"/>
        <v xml:space="preserve"> </v>
      </c>
      <c r="AC25">
        <f t="shared" si="1"/>
        <v>0.68077100042566496</v>
      </c>
    </row>
    <row r="26" spans="1:29" x14ac:dyDescent="0.2">
      <c r="A26" t="s">
        <v>197</v>
      </c>
      <c r="B26" t="s">
        <v>212</v>
      </c>
      <c r="C26">
        <v>4.5845526860554298</v>
      </c>
      <c r="D26">
        <v>4.1926969232613196</v>
      </c>
      <c r="E26">
        <v>0.30602017047765601</v>
      </c>
      <c r="F26">
        <v>44.332339724043699</v>
      </c>
      <c r="G26">
        <v>48.332339724043699</v>
      </c>
      <c r="I26" t="s">
        <v>197</v>
      </c>
      <c r="J26" t="s">
        <v>212</v>
      </c>
      <c r="K26">
        <v>4.5845526860554298</v>
      </c>
      <c r="L26">
        <v>4.1926969232613196</v>
      </c>
      <c r="M26">
        <v>0.30602017047765601</v>
      </c>
      <c r="N26">
        <v>46.332339724043699</v>
      </c>
      <c r="O26">
        <v>1</v>
      </c>
      <c r="P26">
        <v>50.332339724043699</v>
      </c>
      <c r="R26" t="s">
        <v>197</v>
      </c>
      <c r="S26" t="s">
        <v>212</v>
      </c>
      <c r="T26">
        <v>4.3217902344441503</v>
      </c>
      <c r="U26">
        <v>4.3650029158733101</v>
      </c>
      <c r="V26">
        <v>0.35112237175133598</v>
      </c>
      <c r="W26">
        <v>46.295182672886597</v>
      </c>
      <c r="X26">
        <v>4.0150030721582103E-2</v>
      </c>
      <c r="Y26">
        <v>50.295182672886597</v>
      </c>
      <c r="AA26" t="str">
        <f t="shared" si="0"/>
        <v xml:space="preserve"> </v>
      </c>
      <c r="AC26">
        <f t="shared" si="1"/>
        <v>0.30602017047765601</v>
      </c>
    </row>
    <row r="27" spans="1:29" x14ac:dyDescent="0.2">
      <c r="A27" t="s">
        <v>197</v>
      </c>
      <c r="B27" t="s">
        <v>213</v>
      </c>
      <c r="C27">
        <v>2.29486232172544E-2</v>
      </c>
      <c r="D27">
        <v>3.9983705106252199</v>
      </c>
      <c r="E27">
        <v>0.99556111406134296</v>
      </c>
      <c r="F27">
        <v>45.725197358836397</v>
      </c>
      <c r="G27">
        <v>49.725197358836397</v>
      </c>
      <c r="I27" t="s">
        <v>197</v>
      </c>
      <c r="J27" t="s">
        <v>213</v>
      </c>
      <c r="K27">
        <v>-5.4268860847837299</v>
      </c>
      <c r="L27">
        <v>4.3414318124149602</v>
      </c>
      <c r="M27">
        <v>0.246618186257415</v>
      </c>
      <c r="N27">
        <v>46.077530334298501</v>
      </c>
      <c r="O27" s="23">
        <v>9.9999999999999903E-8</v>
      </c>
      <c r="P27">
        <v>50.077530334298501</v>
      </c>
      <c r="R27" t="s">
        <v>197</v>
      </c>
      <c r="S27" t="s">
        <v>213</v>
      </c>
      <c r="T27">
        <v>-5.4268252238766399</v>
      </c>
      <c r="U27">
        <v>4.3414607910439402</v>
      </c>
      <c r="V27">
        <v>0.24662593527041299</v>
      </c>
      <c r="W27">
        <v>46.077556064736498</v>
      </c>
      <c r="X27">
        <v>4.23336542499095</v>
      </c>
      <c r="Y27">
        <v>50.077556064736498</v>
      </c>
      <c r="AA27" t="str">
        <f t="shared" si="0"/>
        <v xml:space="preserve"> </v>
      </c>
      <c r="AC27">
        <f t="shared" si="1"/>
        <v>0.246618186257415</v>
      </c>
    </row>
    <row r="28" spans="1:29" x14ac:dyDescent="0.2">
      <c r="A28" t="s">
        <v>197</v>
      </c>
      <c r="B28" t="s">
        <v>214</v>
      </c>
      <c r="C28">
        <v>-2.7751513177630199E-3</v>
      </c>
      <c r="D28">
        <v>1.0036390208395999E-2</v>
      </c>
      <c r="E28">
        <v>0.78916662608941102</v>
      </c>
      <c r="F28">
        <v>45.630120870496697</v>
      </c>
      <c r="G28">
        <v>49.630120870496697</v>
      </c>
      <c r="I28" t="s">
        <v>197</v>
      </c>
      <c r="J28" t="s">
        <v>214</v>
      </c>
      <c r="K28">
        <v>-1.5836421597038099E-2</v>
      </c>
      <c r="L28">
        <v>1.21894860360437E-2</v>
      </c>
      <c r="M28">
        <v>0.23006918535542101</v>
      </c>
      <c r="N28">
        <v>45.947317093259699</v>
      </c>
      <c r="O28" s="23">
        <v>9.9999999999999903E-8</v>
      </c>
      <c r="P28">
        <v>49.947317093259699</v>
      </c>
      <c r="R28" t="s">
        <v>197</v>
      </c>
      <c r="S28" t="s">
        <v>214</v>
      </c>
      <c r="T28">
        <v>-1.5836224989065499E-2</v>
      </c>
      <c r="U28">
        <v>1.2189555272577399E-2</v>
      </c>
      <c r="V28">
        <v>0.230076867984672</v>
      </c>
      <c r="W28">
        <v>45.947347411605797</v>
      </c>
      <c r="X28">
        <v>4.23336542499095</v>
      </c>
      <c r="Y28">
        <v>49.947347411605797</v>
      </c>
      <c r="AA28" t="str">
        <f t="shared" si="0"/>
        <v xml:space="preserve"> </v>
      </c>
      <c r="AC28">
        <f t="shared" si="1"/>
        <v>0.23006918535542101</v>
      </c>
    </row>
    <row r="29" spans="1:29" x14ac:dyDescent="0.2">
      <c r="A29" t="s">
        <v>197</v>
      </c>
      <c r="B29" t="s">
        <v>215</v>
      </c>
      <c r="C29">
        <v>-0.62373023837254904</v>
      </c>
      <c r="D29">
        <v>1.83616205048642</v>
      </c>
      <c r="E29">
        <v>0.74283436584339801</v>
      </c>
      <c r="F29">
        <v>45.582030246603999</v>
      </c>
      <c r="G29">
        <v>49.582030246603999</v>
      </c>
      <c r="I29" t="s">
        <v>197</v>
      </c>
      <c r="J29" t="s">
        <v>215</v>
      </c>
      <c r="K29">
        <v>-2.4067384523138098</v>
      </c>
      <c r="L29">
        <v>1.50120953140863</v>
      </c>
      <c r="M29">
        <v>0.14755821947571199</v>
      </c>
      <c r="N29">
        <v>45.075646938100903</v>
      </c>
      <c r="O29" s="23">
        <v>9.9999999999999903E-8</v>
      </c>
      <c r="P29">
        <v>49.075646938100903</v>
      </c>
      <c r="R29" t="s">
        <v>197</v>
      </c>
      <c r="S29" t="s">
        <v>215</v>
      </c>
      <c r="T29">
        <v>-2.3699342613719501</v>
      </c>
      <c r="U29">
        <v>1.5096527245836699</v>
      </c>
      <c r="V29">
        <v>0.15508915772770601</v>
      </c>
      <c r="W29">
        <v>45.042886835478399</v>
      </c>
      <c r="X29">
        <v>0.84888269550273399</v>
      </c>
      <c r="Y29">
        <v>49.042886835478399</v>
      </c>
      <c r="AA29" t="str">
        <f t="shared" si="0"/>
        <v xml:space="preserve"> </v>
      </c>
      <c r="AC29">
        <f t="shared" si="1"/>
        <v>0.14755821947571199</v>
      </c>
    </row>
    <row r="30" spans="1:29" x14ac:dyDescent="0.2">
      <c r="A30" t="s">
        <v>197</v>
      </c>
      <c r="B30" t="s">
        <v>25</v>
      </c>
      <c r="C30">
        <v>-1.2243177006122899E-3</v>
      </c>
      <c r="D30">
        <v>4.7384719034827402E-3</v>
      </c>
      <c r="E30">
        <v>0.80263816193402304</v>
      </c>
      <c r="F30">
        <v>45.642135699940098</v>
      </c>
      <c r="G30">
        <v>49.642135699940098</v>
      </c>
      <c r="I30" t="s">
        <v>197</v>
      </c>
      <c r="J30" t="s">
        <v>25</v>
      </c>
      <c r="K30">
        <v>-4.9198965029300101E-3</v>
      </c>
      <c r="L30">
        <v>6.4085922374736799E-3</v>
      </c>
      <c r="M30">
        <v>0.46471716115039002</v>
      </c>
      <c r="N30">
        <v>47.110990216939399</v>
      </c>
      <c r="O30">
        <v>0.25354697777632801</v>
      </c>
      <c r="P30">
        <v>51.110990216939399</v>
      </c>
      <c r="R30" t="s">
        <v>197</v>
      </c>
      <c r="S30" t="s">
        <v>25</v>
      </c>
      <c r="T30">
        <v>-2.9424489157368499E-3</v>
      </c>
      <c r="U30">
        <v>5.7571547776685298E-3</v>
      </c>
      <c r="V30">
        <v>0.62308803317711703</v>
      </c>
      <c r="W30">
        <v>46.891790989313897</v>
      </c>
      <c r="X30">
        <v>0.19270328955065699</v>
      </c>
      <c r="Y30">
        <v>50.891790989313897</v>
      </c>
      <c r="AA30" t="str">
        <f t="shared" si="0"/>
        <v xml:space="preserve"> </v>
      </c>
      <c r="AC30">
        <f t="shared" si="1"/>
        <v>0.46471716115039002</v>
      </c>
    </row>
    <row r="31" spans="1:29" x14ac:dyDescent="0.2">
      <c r="A31" t="s">
        <v>197</v>
      </c>
      <c r="B31" t="s">
        <v>24</v>
      </c>
      <c r="C31">
        <v>2.4239752296286698</v>
      </c>
      <c r="D31">
        <v>2.2825541250020298</v>
      </c>
      <c r="E31">
        <v>0.319258756230207</v>
      </c>
      <c r="F31">
        <v>44.406457872365699</v>
      </c>
      <c r="G31">
        <v>48.406457872365699</v>
      </c>
      <c r="I31" t="s">
        <v>197</v>
      </c>
      <c r="J31" t="s">
        <v>24</v>
      </c>
      <c r="K31">
        <v>4.8470779092828602</v>
      </c>
      <c r="L31">
        <v>1.9652566159090501</v>
      </c>
      <c r="M31">
        <v>3.89292958680654E-2</v>
      </c>
      <c r="N31">
        <v>42.206360060957898</v>
      </c>
      <c r="O31" s="23">
        <v>9.9999999999999903E-8</v>
      </c>
      <c r="P31">
        <v>46.206360060957898</v>
      </c>
      <c r="R31" t="s">
        <v>197</v>
      </c>
      <c r="S31" t="s">
        <v>24</v>
      </c>
      <c r="T31">
        <v>4.8107610406561196</v>
      </c>
      <c r="U31">
        <v>1.9649322005488801</v>
      </c>
      <c r="V31">
        <v>4.0042198537971099E-2</v>
      </c>
      <c r="W31">
        <v>42.166629398413299</v>
      </c>
      <c r="X31">
        <v>0.95588594440659702</v>
      </c>
      <c r="Y31">
        <v>46.166629398413299</v>
      </c>
      <c r="AA31" t="str">
        <f t="shared" si="0"/>
        <v xml:space="preserve">P &amp; OU </v>
      </c>
      <c r="AC31">
        <f t="shared" si="1"/>
        <v>3.89292958680654E-2</v>
      </c>
    </row>
    <row r="32" spans="1:29" x14ac:dyDescent="0.2">
      <c r="A32" t="s">
        <v>197</v>
      </c>
      <c r="B32" t="s">
        <v>23</v>
      </c>
      <c r="C32">
        <v>-0.18727102522637101</v>
      </c>
      <c r="D32">
        <v>0.41722545865542399</v>
      </c>
      <c r="E32">
        <v>0.66545009820857703</v>
      </c>
      <c r="F32">
        <v>45.476526003261903</v>
      </c>
      <c r="G32">
        <v>49.476526003261903</v>
      </c>
      <c r="I32" t="s">
        <v>197</v>
      </c>
      <c r="J32" t="s">
        <v>23</v>
      </c>
      <c r="K32">
        <v>-0.56689955996643004</v>
      </c>
      <c r="L32">
        <v>0.42208294856895001</v>
      </c>
      <c r="M32">
        <v>0.21609492320704701</v>
      </c>
      <c r="N32">
        <v>45.828260023018302</v>
      </c>
      <c r="O32" s="23">
        <v>9.9999999999999903E-8</v>
      </c>
      <c r="P32">
        <v>49.828260023018302</v>
      </c>
      <c r="R32" t="s">
        <v>197</v>
      </c>
      <c r="S32" t="s">
        <v>23</v>
      </c>
      <c r="T32">
        <v>-0.55532503894500196</v>
      </c>
      <c r="U32">
        <v>0.41810440046079</v>
      </c>
      <c r="V32">
        <v>0.220753623010254</v>
      </c>
      <c r="W32">
        <v>45.576741314861899</v>
      </c>
      <c r="X32">
        <v>0.52512617469096301</v>
      </c>
      <c r="Y32">
        <v>49.576741314861899</v>
      </c>
      <c r="AA32" t="str">
        <f t="shared" si="0"/>
        <v xml:space="preserve"> </v>
      </c>
      <c r="AC32">
        <f t="shared" si="1"/>
        <v>0.21609492320704701</v>
      </c>
    </row>
    <row r="33" spans="1:29" x14ac:dyDescent="0.2">
      <c r="A33" t="s">
        <v>197</v>
      </c>
      <c r="B33" t="s">
        <v>220</v>
      </c>
      <c r="C33">
        <v>1.81057535484439E-3</v>
      </c>
      <c r="D33">
        <v>1.9101820865454399E-3</v>
      </c>
      <c r="E33">
        <v>0.37095177965672499</v>
      </c>
      <c r="F33">
        <v>44.660906716084497</v>
      </c>
      <c r="G33">
        <v>48.660906716084497</v>
      </c>
      <c r="I33" t="s">
        <v>197</v>
      </c>
      <c r="J33" t="s">
        <v>220</v>
      </c>
      <c r="K33">
        <v>3.8816182320475898E-3</v>
      </c>
      <c r="L33">
        <v>1.76245258568941E-3</v>
      </c>
      <c r="M33">
        <v>5.87739092642591E-2</v>
      </c>
      <c r="N33">
        <v>43.1222162254765</v>
      </c>
      <c r="O33" s="23">
        <v>9.9999999999999903E-8</v>
      </c>
      <c r="P33">
        <v>47.1222162254765</v>
      </c>
      <c r="R33" t="s">
        <v>197</v>
      </c>
      <c r="S33" t="s">
        <v>220</v>
      </c>
      <c r="T33">
        <v>3.8448361358335201E-3</v>
      </c>
      <c r="U33">
        <v>1.7623625344827499E-3</v>
      </c>
      <c r="V33">
        <v>6.0707300849821497E-2</v>
      </c>
      <c r="W33">
        <v>43.085794219798402</v>
      </c>
      <c r="X33">
        <v>0.93827024664293002</v>
      </c>
      <c r="Y33">
        <v>47.085794219798402</v>
      </c>
      <c r="AA33" t="str">
        <f t="shared" si="0"/>
        <v xml:space="preserve"> </v>
      </c>
      <c r="AC33">
        <f t="shared" si="1"/>
        <v>5.87739092642591E-2</v>
      </c>
    </row>
    <row r="34" spans="1:29" x14ac:dyDescent="0.2">
      <c r="A34" t="s">
        <v>86</v>
      </c>
      <c r="B34" t="s">
        <v>2</v>
      </c>
      <c r="C34">
        <v>1.40408040198302E-3</v>
      </c>
      <c r="D34">
        <v>3.15355611672802E-4</v>
      </c>
      <c r="E34">
        <v>2.1325664391200201E-3</v>
      </c>
      <c r="F34">
        <v>-27.179816604294398</v>
      </c>
      <c r="G34">
        <v>-23.179816604294398</v>
      </c>
      <c r="I34" t="s">
        <v>86</v>
      </c>
      <c r="J34" t="s">
        <v>2</v>
      </c>
      <c r="K34">
        <v>1.5922641496302901E-3</v>
      </c>
      <c r="L34">
        <v>1.3042136623408299E-4</v>
      </c>
      <c r="M34" s="23">
        <v>1.8797924775225599E-6</v>
      </c>
      <c r="N34">
        <v>-31.369151694708201</v>
      </c>
      <c r="O34" s="23">
        <v>9.9999999999999903E-8</v>
      </c>
      <c r="P34">
        <v>-27.369151694708201</v>
      </c>
      <c r="R34" t="s">
        <v>86</v>
      </c>
      <c r="S34" t="s">
        <v>2</v>
      </c>
      <c r="T34">
        <v>1.5922641071987799E-3</v>
      </c>
      <c r="U34">
        <v>1.3042193150777801E-4</v>
      </c>
      <c r="V34" s="23">
        <v>1.8798550493265E-6</v>
      </c>
      <c r="W34">
        <v>-31.3690892303987</v>
      </c>
      <c r="X34">
        <v>4.23336542499095</v>
      </c>
      <c r="Y34">
        <v>-27.3690892303987</v>
      </c>
      <c r="AA34" t="str">
        <f t="shared" si="0"/>
        <v xml:space="preserve">P &amp; OU </v>
      </c>
      <c r="AC34">
        <f t="shared" si="1"/>
        <v>1.8797924775225599E-6</v>
      </c>
    </row>
    <row r="35" spans="1:29" x14ac:dyDescent="0.2">
      <c r="A35" t="s">
        <v>86</v>
      </c>
      <c r="B35" t="s">
        <v>19</v>
      </c>
      <c r="C35">
        <v>0.25302951233115301</v>
      </c>
      <c r="D35">
        <v>0.37325378705218398</v>
      </c>
      <c r="E35">
        <v>0.51695687837507598</v>
      </c>
      <c r="F35">
        <v>-15.2739270690802</v>
      </c>
      <c r="G35">
        <v>-11.2739270690802</v>
      </c>
      <c r="I35" t="s">
        <v>86</v>
      </c>
      <c r="J35" t="s">
        <v>19</v>
      </c>
      <c r="K35">
        <v>0.25302951233115301</v>
      </c>
      <c r="L35">
        <v>0.37325378705218398</v>
      </c>
      <c r="M35">
        <v>0.51695687837507598</v>
      </c>
      <c r="N35">
        <v>-13.2739270690802</v>
      </c>
      <c r="O35">
        <v>1</v>
      </c>
      <c r="P35">
        <v>-9.2739270690802407</v>
      </c>
      <c r="R35" t="s">
        <v>86</v>
      </c>
      <c r="S35" t="s">
        <v>19</v>
      </c>
      <c r="T35">
        <v>0.25302951350508202</v>
      </c>
      <c r="U35">
        <v>0.37325379849682899</v>
      </c>
      <c r="V35">
        <v>0.51695688898612602</v>
      </c>
      <c r="W35">
        <v>-13.273926730743799</v>
      </c>
      <c r="X35" s="23">
        <v>1.2775236858536E-8</v>
      </c>
      <c r="Y35">
        <v>-9.2739267307437707</v>
      </c>
      <c r="AA35" t="str">
        <f t="shared" si="0"/>
        <v xml:space="preserve"> </v>
      </c>
      <c r="AC35">
        <f t="shared" si="1"/>
        <v>0.51695687837507598</v>
      </c>
    </row>
    <row r="36" spans="1:29" x14ac:dyDescent="0.2">
      <c r="A36" t="s">
        <v>86</v>
      </c>
      <c r="B36" t="s">
        <v>20</v>
      </c>
      <c r="C36">
        <v>0.19497655164703601</v>
      </c>
      <c r="D36">
        <v>0.15137640525959101</v>
      </c>
      <c r="E36">
        <v>0.233741609757499</v>
      </c>
      <c r="F36">
        <v>-16.599875011050699</v>
      </c>
      <c r="G36">
        <v>-12.599875011050701</v>
      </c>
      <c r="I36" t="s">
        <v>86</v>
      </c>
      <c r="J36" t="s">
        <v>20</v>
      </c>
      <c r="K36">
        <v>0.19497655164703601</v>
      </c>
      <c r="L36">
        <v>0.15137640525959101</v>
      </c>
      <c r="M36">
        <v>0.233741609757499</v>
      </c>
      <c r="N36">
        <v>-14.599875011050701</v>
      </c>
      <c r="O36">
        <v>1</v>
      </c>
      <c r="P36">
        <v>-10.599875011050701</v>
      </c>
      <c r="R36" t="s">
        <v>86</v>
      </c>
      <c r="S36" t="s">
        <v>20</v>
      </c>
      <c r="T36">
        <v>0.19497655934138899</v>
      </c>
      <c r="U36">
        <v>0.15137640579321199</v>
      </c>
      <c r="V36">
        <v>0.23374159442588599</v>
      </c>
      <c r="W36">
        <v>-14.599874923089301</v>
      </c>
      <c r="X36" s="23">
        <v>8.7182929170652503E-9</v>
      </c>
      <c r="Y36">
        <v>-10.599874923089301</v>
      </c>
      <c r="AA36" t="str">
        <f t="shared" si="0"/>
        <v xml:space="preserve"> </v>
      </c>
      <c r="AC36">
        <f t="shared" si="1"/>
        <v>0.23374159442588599</v>
      </c>
    </row>
    <row r="37" spans="1:29" x14ac:dyDescent="0.2">
      <c r="A37" t="s">
        <v>86</v>
      </c>
      <c r="B37" t="s">
        <v>21</v>
      </c>
      <c r="C37" s="23">
        <v>2.22412488729033E-5</v>
      </c>
      <c r="D37">
        <v>4.9155941882797602E-4</v>
      </c>
      <c r="E37">
        <v>0.96502002071119397</v>
      </c>
      <c r="F37">
        <v>-14.717939959751201</v>
      </c>
      <c r="G37">
        <v>-10.717939959751201</v>
      </c>
      <c r="I37" t="s">
        <v>86</v>
      </c>
      <c r="J37" t="s">
        <v>21</v>
      </c>
      <c r="K37" s="23">
        <v>2.22412488729033E-5</v>
      </c>
      <c r="L37">
        <v>4.9155941882797602E-4</v>
      </c>
      <c r="M37">
        <v>0.96502002071119397</v>
      </c>
      <c r="N37">
        <v>-12.717939959751201</v>
      </c>
      <c r="O37">
        <v>1</v>
      </c>
      <c r="P37">
        <v>-8.7179399597512504</v>
      </c>
      <c r="R37" t="s">
        <v>86</v>
      </c>
      <c r="S37" t="s">
        <v>21</v>
      </c>
      <c r="T37" s="23">
        <v>2.2241281867547599E-5</v>
      </c>
      <c r="U37">
        <v>4.9155942907357E-4</v>
      </c>
      <c r="V37">
        <v>0.96501996958713598</v>
      </c>
      <c r="W37">
        <v>-12.717939760026001</v>
      </c>
      <c r="X37" s="23">
        <v>8.4667308499818997E-9</v>
      </c>
      <c r="Y37">
        <v>-8.7179397600260096</v>
      </c>
      <c r="AA37" t="str">
        <f t="shared" si="0"/>
        <v xml:space="preserve"> </v>
      </c>
      <c r="AC37">
        <f t="shared" si="1"/>
        <v>0.96501996958713598</v>
      </c>
    </row>
    <row r="38" spans="1:29" x14ac:dyDescent="0.2">
      <c r="A38" t="s">
        <v>86</v>
      </c>
      <c r="B38" t="s">
        <v>198</v>
      </c>
      <c r="C38">
        <v>4.5602836308539098E-2</v>
      </c>
      <c r="D38">
        <v>2.7552928419758101E-2</v>
      </c>
      <c r="E38">
        <v>0.13649923078603601</v>
      </c>
      <c r="F38">
        <v>-17.660115353334501</v>
      </c>
      <c r="G38">
        <v>-13.660115353334501</v>
      </c>
      <c r="I38" t="s">
        <v>86</v>
      </c>
      <c r="J38" t="s">
        <v>198</v>
      </c>
      <c r="K38">
        <v>0.106068074046565</v>
      </c>
      <c r="L38">
        <v>1.63492473292466E-2</v>
      </c>
      <c r="M38">
        <v>1.9057148369380401E-4</v>
      </c>
      <c r="N38">
        <v>-19.941608212375598</v>
      </c>
      <c r="O38" s="23">
        <v>9.9999999999999903E-8</v>
      </c>
      <c r="P38">
        <v>-15.9416082123756</v>
      </c>
      <c r="R38" t="s">
        <v>86</v>
      </c>
      <c r="S38" t="s">
        <v>198</v>
      </c>
      <c r="T38">
        <v>0.10606787654500301</v>
      </c>
      <c r="U38">
        <v>1.6349343801013601E-2</v>
      </c>
      <c r="V38">
        <v>1.90581612498134E-4</v>
      </c>
      <c r="W38">
        <v>-19.9414980647656</v>
      </c>
      <c r="X38">
        <v>4.23336542499095</v>
      </c>
      <c r="Y38">
        <v>-15.9414980647656</v>
      </c>
      <c r="AA38" t="str">
        <f t="shared" si="0"/>
        <v xml:space="preserve">P &amp; OU </v>
      </c>
      <c r="AC38">
        <f t="shared" si="1"/>
        <v>1.9057148369380401E-4</v>
      </c>
    </row>
    <row r="39" spans="1:29" x14ac:dyDescent="0.2">
      <c r="A39" t="s">
        <v>86</v>
      </c>
      <c r="B39" t="s">
        <v>199</v>
      </c>
      <c r="C39">
        <v>1.5283336774886899E-3</v>
      </c>
      <c r="D39">
        <v>2.1570957339054299E-3</v>
      </c>
      <c r="E39">
        <v>0.49874753251109999</v>
      </c>
      <c r="F39">
        <v>-15.323971717472</v>
      </c>
      <c r="G39">
        <v>-11.323971717472</v>
      </c>
      <c r="I39" t="s">
        <v>86</v>
      </c>
      <c r="J39" t="s">
        <v>199</v>
      </c>
      <c r="K39">
        <v>1.5283336774886899E-3</v>
      </c>
      <c r="L39">
        <v>2.1570957339054299E-3</v>
      </c>
      <c r="M39">
        <v>0.49874753251109999</v>
      </c>
      <c r="N39">
        <v>-13.323971717472</v>
      </c>
      <c r="O39">
        <v>1</v>
      </c>
      <c r="P39">
        <v>-9.3239717174719701</v>
      </c>
      <c r="R39" t="s">
        <v>86</v>
      </c>
      <c r="S39" t="s">
        <v>199</v>
      </c>
      <c r="T39">
        <v>1.5283335792643301E-3</v>
      </c>
      <c r="U39">
        <v>2.1570958487515599E-3</v>
      </c>
      <c r="V39">
        <v>0.49874758147639098</v>
      </c>
      <c r="W39">
        <v>-13.3239710841451</v>
      </c>
      <c r="X39" s="23">
        <v>2.0369177332464298E-8</v>
      </c>
      <c r="Y39">
        <v>-9.3239710841451107</v>
      </c>
      <c r="AA39" t="str">
        <f t="shared" si="0"/>
        <v>BM</v>
      </c>
      <c r="AC39">
        <f t="shared" si="1"/>
        <v>0.49874753251109999</v>
      </c>
    </row>
    <row r="40" spans="1:29" x14ac:dyDescent="0.2">
      <c r="A40" t="s">
        <v>86</v>
      </c>
      <c r="B40" t="s">
        <v>200</v>
      </c>
      <c r="C40">
        <v>3.1280363464132399E-3</v>
      </c>
      <c r="D40">
        <v>3.4545877830004399E-3</v>
      </c>
      <c r="E40">
        <v>0.39166857808141903</v>
      </c>
      <c r="F40">
        <v>-15.6910502420497</v>
      </c>
      <c r="G40">
        <v>-11.6910502420497</v>
      </c>
      <c r="I40" t="s">
        <v>86</v>
      </c>
      <c r="J40" t="s">
        <v>200</v>
      </c>
      <c r="K40">
        <v>1.0032720263485201E-2</v>
      </c>
      <c r="L40">
        <v>1.7519989192175201E-3</v>
      </c>
      <c r="M40">
        <v>4.4075651863993698E-4</v>
      </c>
      <c r="N40">
        <v>-17.888386538807399</v>
      </c>
      <c r="O40" s="23">
        <v>9.9999999999999903E-8</v>
      </c>
      <c r="P40">
        <v>-13.888386538807399</v>
      </c>
      <c r="R40" t="s">
        <v>86</v>
      </c>
      <c r="S40" t="s">
        <v>200</v>
      </c>
      <c r="T40">
        <v>1.0032716022192901E-2</v>
      </c>
      <c r="U40">
        <v>1.75200837927655E-3</v>
      </c>
      <c r="V40">
        <v>4.4077341145790197E-4</v>
      </c>
      <c r="W40">
        <v>-17.888313239587301</v>
      </c>
      <c r="X40">
        <v>4.23336542499095</v>
      </c>
      <c r="Y40">
        <v>-13.888313239587299</v>
      </c>
      <c r="AA40" t="str">
        <f t="shared" si="0"/>
        <v xml:space="preserve">P &amp; OU </v>
      </c>
      <c r="AC40">
        <f t="shared" si="1"/>
        <v>4.4075651863993698E-4</v>
      </c>
    </row>
    <row r="41" spans="1:29" x14ac:dyDescent="0.2">
      <c r="A41" t="s">
        <v>86</v>
      </c>
      <c r="B41" t="s">
        <v>201</v>
      </c>
      <c r="C41" s="23">
        <v>2.8471594431933302E-5</v>
      </c>
      <c r="D41">
        <v>4.71267011317036E-4</v>
      </c>
      <c r="E41">
        <v>0.95330711368103305</v>
      </c>
      <c r="F41">
        <v>-14.7199426757764</v>
      </c>
      <c r="G41">
        <v>-10.7199426757764</v>
      </c>
      <c r="I41" t="s">
        <v>86</v>
      </c>
      <c r="J41" t="s">
        <v>201</v>
      </c>
      <c r="K41" s="23">
        <v>2.8471594431933302E-5</v>
      </c>
      <c r="L41">
        <v>4.71267011317036E-4</v>
      </c>
      <c r="M41">
        <v>0.95330711368103305</v>
      </c>
      <c r="N41">
        <v>-12.7199426757764</v>
      </c>
      <c r="O41">
        <v>1</v>
      </c>
      <c r="P41">
        <v>-8.71994267577643</v>
      </c>
      <c r="R41" t="s">
        <v>86</v>
      </c>
      <c r="S41" t="s">
        <v>201</v>
      </c>
      <c r="T41" s="23">
        <v>2.84715988154434E-5</v>
      </c>
      <c r="U41">
        <v>4.7126701985668101E-4</v>
      </c>
      <c r="V41">
        <v>0.95330710734693602</v>
      </c>
      <c r="W41">
        <v>-12.719942469806201</v>
      </c>
      <c r="X41" s="23">
        <v>8.4667308499818997E-9</v>
      </c>
      <c r="Y41">
        <v>-8.7199424698061705</v>
      </c>
      <c r="AA41" t="str">
        <f t="shared" si="0"/>
        <v xml:space="preserve"> </v>
      </c>
      <c r="AC41">
        <f t="shared" si="1"/>
        <v>0.95330710734693602</v>
      </c>
    </row>
    <row r="42" spans="1:29" x14ac:dyDescent="0.2">
      <c r="A42" t="s">
        <v>86</v>
      </c>
      <c r="B42" t="s">
        <v>202</v>
      </c>
      <c r="C42">
        <v>2.8837527948854701E-2</v>
      </c>
      <c r="D42">
        <v>2.3110229619949799E-2</v>
      </c>
      <c r="E42">
        <v>0.247380448869056</v>
      </c>
      <c r="F42">
        <v>-16.493775525486299</v>
      </c>
      <c r="G42">
        <v>-12.493775525486299</v>
      </c>
      <c r="I42" t="s">
        <v>86</v>
      </c>
      <c r="J42" t="s">
        <v>202</v>
      </c>
      <c r="K42">
        <v>6.5722936675730398E-2</v>
      </c>
      <c r="L42">
        <v>1.06388070213681E-2</v>
      </c>
      <c r="M42">
        <v>2.6582867140122901E-4</v>
      </c>
      <c r="N42">
        <v>-19.1253845551838</v>
      </c>
      <c r="O42" s="23">
        <v>9.9999999999999903E-8</v>
      </c>
      <c r="P42">
        <v>-15.1253845551838</v>
      </c>
      <c r="R42" t="s">
        <v>86</v>
      </c>
      <c r="S42" t="s">
        <v>202</v>
      </c>
      <c r="T42">
        <v>6.5722994261897996E-2</v>
      </c>
      <c r="U42">
        <v>1.0638854335526899E-2</v>
      </c>
      <c r="V42">
        <v>2.6583507754709398E-4</v>
      </c>
      <c r="W42">
        <v>-19.1253458201538</v>
      </c>
      <c r="X42">
        <v>4.23336542499095</v>
      </c>
      <c r="Y42">
        <v>-15.1253458201538</v>
      </c>
      <c r="AA42" t="str">
        <f t="shared" si="0"/>
        <v xml:space="preserve">P &amp; OU </v>
      </c>
      <c r="AC42">
        <f t="shared" si="1"/>
        <v>2.6582867140122901E-4</v>
      </c>
    </row>
    <row r="43" spans="1:29" x14ac:dyDescent="0.2">
      <c r="A43" t="s">
        <v>86</v>
      </c>
      <c r="B43" t="s">
        <v>203</v>
      </c>
      <c r="C43" s="23">
        <v>2.1405093842964099E-5</v>
      </c>
      <c r="D43" s="23">
        <v>5.6070713939950402E-5</v>
      </c>
      <c r="E43">
        <v>0.71258575702279403</v>
      </c>
      <c r="F43">
        <v>-14.895909881755401</v>
      </c>
      <c r="G43">
        <v>-10.895909881755401</v>
      </c>
      <c r="I43" t="s">
        <v>86</v>
      </c>
      <c r="J43" t="s">
        <v>203</v>
      </c>
      <c r="K43" s="23">
        <v>2.1405093842964099E-5</v>
      </c>
      <c r="L43" s="23">
        <v>5.6070713939950402E-5</v>
      </c>
      <c r="M43">
        <v>0.71258575702279403</v>
      </c>
      <c r="N43">
        <v>-12.895909881755401</v>
      </c>
      <c r="O43">
        <v>1</v>
      </c>
      <c r="P43">
        <v>-8.8959098817554008</v>
      </c>
      <c r="R43" t="s">
        <v>86</v>
      </c>
      <c r="S43" t="s">
        <v>203</v>
      </c>
      <c r="T43" s="23">
        <v>2.14050917887745E-5</v>
      </c>
      <c r="U43" s="23">
        <v>5.6070715028833197E-5</v>
      </c>
      <c r="V43">
        <v>0.71258578843224496</v>
      </c>
      <c r="W43">
        <v>-12.895909638484101</v>
      </c>
      <c r="X43" s="23">
        <v>8.4721778715179796E-9</v>
      </c>
      <c r="Y43">
        <v>-8.8959096384841398</v>
      </c>
      <c r="AA43" t="str">
        <f t="shared" si="0"/>
        <v xml:space="preserve"> </v>
      </c>
      <c r="AC43">
        <f t="shared" si="1"/>
        <v>0.71258575702279403</v>
      </c>
    </row>
    <row r="44" spans="1:29" x14ac:dyDescent="0.2">
      <c r="A44" t="s">
        <v>86</v>
      </c>
      <c r="B44" t="s">
        <v>204</v>
      </c>
      <c r="C44">
        <v>-2.9895059428558999E-2</v>
      </c>
      <c r="D44">
        <v>6.3045446809541203E-2</v>
      </c>
      <c r="E44">
        <v>0.648042120029655</v>
      </c>
      <c r="F44">
        <v>-14.992565482367599</v>
      </c>
      <c r="G44">
        <v>-10.992565482367599</v>
      </c>
      <c r="I44" t="s">
        <v>86</v>
      </c>
      <c r="J44" t="s">
        <v>204</v>
      </c>
      <c r="K44">
        <v>-2.9895059428558999E-2</v>
      </c>
      <c r="L44">
        <v>6.3045446809541203E-2</v>
      </c>
      <c r="M44">
        <v>0.648042120029655</v>
      </c>
      <c r="N44">
        <v>-12.992565482367599</v>
      </c>
      <c r="O44">
        <v>1</v>
      </c>
      <c r="P44">
        <v>-8.9925654823676293</v>
      </c>
      <c r="R44" t="s">
        <v>86</v>
      </c>
      <c r="S44" t="s">
        <v>204</v>
      </c>
      <c r="T44">
        <v>-2.9895056503872398E-2</v>
      </c>
      <c r="U44">
        <v>6.3045449052127098E-2</v>
      </c>
      <c r="V44">
        <v>0.64804216321561703</v>
      </c>
      <c r="W44">
        <v>-12.9925651555725</v>
      </c>
      <c r="X44" s="23">
        <v>1.0571520182050299E-8</v>
      </c>
      <c r="Y44">
        <v>-8.9925651555725192</v>
      </c>
      <c r="AA44" t="str">
        <f t="shared" si="0"/>
        <v xml:space="preserve"> </v>
      </c>
      <c r="AC44">
        <f t="shared" si="1"/>
        <v>0.648042120029655</v>
      </c>
    </row>
    <row r="45" spans="1:29" x14ac:dyDescent="0.2">
      <c r="A45" t="s">
        <v>86</v>
      </c>
      <c r="B45" t="s">
        <v>206</v>
      </c>
      <c r="C45">
        <v>-4.66878648512484E-4</v>
      </c>
      <c r="D45">
        <v>7.6237192770451101E-3</v>
      </c>
      <c r="E45">
        <v>0.95267017264169995</v>
      </c>
      <c r="F45">
        <v>-14.720068116905701</v>
      </c>
      <c r="G45">
        <v>-10.720068116905701</v>
      </c>
      <c r="I45" t="s">
        <v>86</v>
      </c>
      <c r="J45" t="s">
        <v>206</v>
      </c>
      <c r="K45">
        <v>-4.66878648512484E-4</v>
      </c>
      <c r="L45">
        <v>7.6237192770451101E-3</v>
      </c>
      <c r="M45">
        <v>0.95267017264169995</v>
      </c>
      <c r="N45">
        <v>-12.720068116905701</v>
      </c>
      <c r="O45">
        <v>1</v>
      </c>
      <c r="P45">
        <v>-8.7200681169056597</v>
      </c>
      <c r="R45" t="s">
        <v>86</v>
      </c>
      <c r="S45" t="s">
        <v>206</v>
      </c>
      <c r="T45">
        <v>-4.6687898936653699E-4</v>
      </c>
      <c r="U45">
        <v>7.6237196067961898E-3</v>
      </c>
      <c r="V45">
        <v>0.95267014018046903</v>
      </c>
      <c r="W45">
        <v>-12.7200676268008</v>
      </c>
      <c r="X45" s="23">
        <v>2.0457834226867502E-8</v>
      </c>
      <c r="Y45">
        <v>-8.7200676268007804</v>
      </c>
      <c r="AA45" t="str">
        <f t="shared" si="0"/>
        <v>BM</v>
      </c>
      <c r="AC45">
        <f t="shared" si="1"/>
        <v>0.95267014018046903</v>
      </c>
    </row>
    <row r="46" spans="1:29" x14ac:dyDescent="0.2">
      <c r="A46" t="s">
        <v>86</v>
      </c>
      <c r="B46" t="s">
        <v>205</v>
      </c>
      <c r="C46">
        <v>-1.34806547735116E-2</v>
      </c>
      <c r="D46">
        <v>0.13823552653714</v>
      </c>
      <c r="E46">
        <v>0.92471285877520204</v>
      </c>
      <c r="F46">
        <v>-14.7272617494227</v>
      </c>
      <c r="G46">
        <v>-10.7272617494227</v>
      </c>
      <c r="I46" t="s">
        <v>86</v>
      </c>
      <c r="J46" t="s">
        <v>205</v>
      </c>
      <c r="K46">
        <v>-1.34806547735116E-2</v>
      </c>
      <c r="L46">
        <v>0.13823552653714</v>
      </c>
      <c r="M46">
        <v>0.92471285877520204</v>
      </c>
      <c r="N46">
        <v>-12.7272617494227</v>
      </c>
      <c r="O46">
        <v>1</v>
      </c>
      <c r="P46">
        <v>-8.7272617494227198</v>
      </c>
      <c r="R46" t="s">
        <v>86</v>
      </c>
      <c r="S46" t="s">
        <v>205</v>
      </c>
      <c r="T46">
        <v>-1.34806413588588E-2</v>
      </c>
      <c r="U46">
        <v>0.138235530109312</v>
      </c>
      <c r="V46">
        <v>0.92471293536570898</v>
      </c>
      <c r="W46">
        <v>-12.727261413473601</v>
      </c>
      <c r="X46" s="23">
        <v>1.27797097591734E-8</v>
      </c>
      <c r="Y46">
        <v>-8.7272614134736308</v>
      </c>
      <c r="AA46" t="str">
        <f t="shared" si="0"/>
        <v xml:space="preserve"> </v>
      </c>
      <c r="AC46">
        <f t="shared" si="1"/>
        <v>0.92471285877520204</v>
      </c>
    </row>
    <row r="47" spans="1:29" x14ac:dyDescent="0.2">
      <c r="A47" t="s">
        <v>86</v>
      </c>
      <c r="B47" t="s">
        <v>207</v>
      </c>
      <c r="C47">
        <v>5.3814226389798498E-4</v>
      </c>
      <c r="D47">
        <v>5.3277924028804005E-4</v>
      </c>
      <c r="E47">
        <v>0.342034298583129</v>
      </c>
      <c r="F47">
        <v>-15.9156681315997</v>
      </c>
      <c r="G47">
        <v>-11.9156681315997</v>
      </c>
      <c r="I47" t="s">
        <v>86</v>
      </c>
      <c r="J47" t="s">
        <v>207</v>
      </c>
      <c r="K47">
        <v>5.3814226389798498E-4</v>
      </c>
      <c r="L47">
        <v>5.3277924028804005E-4</v>
      </c>
      <c r="M47">
        <v>0.342034298583129</v>
      </c>
      <c r="N47">
        <v>-13.9156681315997</v>
      </c>
      <c r="O47">
        <v>1</v>
      </c>
      <c r="P47">
        <v>-9.91566813159967</v>
      </c>
      <c r="R47" t="s">
        <v>86</v>
      </c>
      <c r="S47" t="s">
        <v>207</v>
      </c>
      <c r="T47">
        <v>5.3814225413083804E-4</v>
      </c>
      <c r="U47">
        <v>5.3277927031896203E-4</v>
      </c>
      <c r="V47">
        <v>0.34203433250103199</v>
      </c>
      <c r="W47">
        <v>-13.91566751829</v>
      </c>
      <c r="X47" s="23">
        <v>1.8318931232400001E-8</v>
      </c>
      <c r="Y47">
        <v>-9.9156675182899807</v>
      </c>
      <c r="AA47" t="str">
        <f t="shared" si="0"/>
        <v>BM</v>
      </c>
      <c r="AC47">
        <f t="shared" si="1"/>
        <v>0.342034298583129</v>
      </c>
    </row>
    <row r="48" spans="1:29" x14ac:dyDescent="0.2">
      <c r="A48" t="s">
        <v>86</v>
      </c>
      <c r="B48" t="s">
        <v>208</v>
      </c>
      <c r="C48">
        <v>5.8303237685411197E-3</v>
      </c>
      <c r="D48">
        <v>3.6770716875677199E-2</v>
      </c>
      <c r="E48">
        <v>0.87794595217141003</v>
      </c>
      <c r="F48">
        <v>-14.746758123650601</v>
      </c>
      <c r="G48">
        <v>-10.746758123650601</v>
      </c>
      <c r="I48" t="s">
        <v>86</v>
      </c>
      <c r="J48" t="s">
        <v>208</v>
      </c>
      <c r="K48">
        <v>5.8303237685411197E-3</v>
      </c>
      <c r="L48">
        <v>3.6770716875677199E-2</v>
      </c>
      <c r="M48">
        <v>0.87794595217141003</v>
      </c>
      <c r="N48">
        <v>-12.746758123650601</v>
      </c>
      <c r="O48">
        <v>1</v>
      </c>
      <c r="P48">
        <v>-8.74675812365059</v>
      </c>
      <c r="R48" t="s">
        <v>86</v>
      </c>
      <c r="S48" t="s">
        <v>208</v>
      </c>
      <c r="T48">
        <v>5.8303240368071801E-3</v>
      </c>
      <c r="U48">
        <v>3.6770717801470898E-2</v>
      </c>
      <c r="V48">
        <v>0.87794594965228601</v>
      </c>
      <c r="W48">
        <v>-12.7467579177468</v>
      </c>
      <c r="X48" s="23">
        <v>8.4667308499818997E-9</v>
      </c>
      <c r="Y48">
        <v>-8.7467579177467805</v>
      </c>
      <c r="AA48" t="str">
        <f t="shared" si="0"/>
        <v>BM</v>
      </c>
      <c r="AC48">
        <f t="shared" si="1"/>
        <v>0.87794594965228601</v>
      </c>
    </row>
    <row r="49" spans="1:29" x14ac:dyDescent="0.2">
      <c r="A49" t="s">
        <v>86</v>
      </c>
      <c r="B49" t="s">
        <v>209</v>
      </c>
      <c r="C49" s="23">
        <v>9.8412323036221205E-5</v>
      </c>
      <c r="D49">
        <v>2.3543166844092401E-4</v>
      </c>
      <c r="E49">
        <v>0.68693574484886899</v>
      </c>
      <c r="F49">
        <v>-14.931443573135599</v>
      </c>
      <c r="G49">
        <v>-10.931443573135599</v>
      </c>
      <c r="I49" t="s">
        <v>86</v>
      </c>
      <c r="J49" t="s">
        <v>209</v>
      </c>
      <c r="K49" s="23">
        <v>9.8412323036221205E-5</v>
      </c>
      <c r="L49">
        <v>2.3543166844092401E-4</v>
      </c>
      <c r="M49">
        <v>0.68693574484886899</v>
      </c>
      <c r="N49">
        <v>-12.931443573135599</v>
      </c>
      <c r="O49">
        <v>1</v>
      </c>
      <c r="P49">
        <v>-8.9314435731356099</v>
      </c>
      <c r="R49" t="s">
        <v>86</v>
      </c>
      <c r="S49" t="s">
        <v>209</v>
      </c>
      <c r="T49" s="23">
        <v>9.8412322828631197E-5</v>
      </c>
      <c r="U49">
        <v>2.3543167361503401E-4</v>
      </c>
      <c r="V49">
        <v>0.68693575191425604</v>
      </c>
      <c r="W49">
        <v>-12.9314433556297</v>
      </c>
      <c r="X49" s="23">
        <v>8.4667308499818997E-9</v>
      </c>
      <c r="Y49">
        <v>-8.93144335562965</v>
      </c>
      <c r="AA49" t="str">
        <f t="shared" si="0"/>
        <v xml:space="preserve"> </v>
      </c>
      <c r="AC49">
        <f t="shared" si="1"/>
        <v>0.68693574484886899</v>
      </c>
    </row>
    <row r="50" spans="1:29" x14ac:dyDescent="0.2">
      <c r="A50" t="s">
        <v>86</v>
      </c>
      <c r="B50" t="s">
        <v>210</v>
      </c>
      <c r="C50">
        <v>-4.3310821011555901E-2</v>
      </c>
      <c r="D50">
        <v>4.8200142345460703E-2</v>
      </c>
      <c r="E50">
        <v>0.39512519938078999</v>
      </c>
      <c r="F50">
        <v>-15.6769043247059</v>
      </c>
      <c r="G50">
        <v>-11.6769043247059</v>
      </c>
      <c r="I50" t="s">
        <v>86</v>
      </c>
      <c r="J50" t="s">
        <v>210</v>
      </c>
      <c r="K50">
        <v>-4.3310821011555901E-2</v>
      </c>
      <c r="L50">
        <v>4.8200142345460703E-2</v>
      </c>
      <c r="M50">
        <v>0.39512519938078999</v>
      </c>
      <c r="N50">
        <v>-13.6769043247059</v>
      </c>
      <c r="O50">
        <v>1</v>
      </c>
      <c r="P50">
        <v>-9.6769043247058804</v>
      </c>
      <c r="R50" t="s">
        <v>86</v>
      </c>
      <c r="S50" t="s">
        <v>210</v>
      </c>
      <c r="T50">
        <v>-4.3310821203120499E-2</v>
      </c>
      <c r="U50">
        <v>4.8200143960196E-2</v>
      </c>
      <c r="V50">
        <v>0.39512521249062099</v>
      </c>
      <c r="W50">
        <v>-13.676904017134</v>
      </c>
      <c r="X50" s="23">
        <v>1.0650873936617899E-8</v>
      </c>
      <c r="Y50">
        <v>-9.6769040171340404</v>
      </c>
      <c r="AA50" t="str">
        <f t="shared" si="0"/>
        <v>BM</v>
      </c>
      <c r="AC50">
        <f t="shared" si="1"/>
        <v>0.39512519938078999</v>
      </c>
    </row>
    <row r="51" spans="1:29" x14ac:dyDescent="0.2">
      <c r="A51" t="s">
        <v>86</v>
      </c>
      <c r="B51" t="s">
        <v>4</v>
      </c>
      <c r="C51">
        <v>-3.5958638594646701E-2</v>
      </c>
      <c r="D51">
        <v>4.8127492647505002E-2</v>
      </c>
      <c r="E51">
        <v>0.47635433585273601</v>
      </c>
      <c r="F51">
        <v>-15.389910033765</v>
      </c>
      <c r="G51">
        <v>-11.389910033765</v>
      </c>
      <c r="I51" t="s">
        <v>86</v>
      </c>
      <c r="J51" t="s">
        <v>4</v>
      </c>
      <c r="K51">
        <v>-3.5958638594646701E-2</v>
      </c>
      <c r="L51">
        <v>4.8127492647505002E-2</v>
      </c>
      <c r="M51">
        <v>0.47635433585273601</v>
      </c>
      <c r="N51">
        <v>-13.389910033765</v>
      </c>
      <c r="O51">
        <v>1</v>
      </c>
      <c r="P51">
        <v>-9.3899100337650001</v>
      </c>
      <c r="R51" t="s">
        <v>86</v>
      </c>
      <c r="S51" t="s">
        <v>4</v>
      </c>
      <c r="T51">
        <v>-3.5958639359354998E-2</v>
      </c>
      <c r="U51">
        <v>4.8127494339026099E-2</v>
      </c>
      <c r="V51">
        <v>0.476354341773643</v>
      </c>
      <c r="W51">
        <v>-13.389909688128901</v>
      </c>
      <c r="X51" s="23">
        <v>1.35717834497451E-8</v>
      </c>
      <c r="Y51">
        <v>-9.3899096881288795</v>
      </c>
      <c r="AA51" t="str">
        <f t="shared" si="0"/>
        <v xml:space="preserve"> </v>
      </c>
      <c r="AC51">
        <f t="shared" si="1"/>
        <v>0.47635433585273601</v>
      </c>
    </row>
    <row r="52" spans="1:29" x14ac:dyDescent="0.2">
      <c r="A52" t="s">
        <v>86</v>
      </c>
      <c r="B52" t="s">
        <v>3</v>
      </c>
      <c r="C52">
        <v>0.47634640180044202</v>
      </c>
      <c r="D52">
        <v>0.488897780633962</v>
      </c>
      <c r="E52">
        <v>0.35843044250360701</v>
      </c>
      <c r="F52">
        <v>-15.836734063655401</v>
      </c>
      <c r="G52">
        <v>-11.836734063655401</v>
      </c>
      <c r="I52" t="s">
        <v>86</v>
      </c>
      <c r="J52" t="s">
        <v>3</v>
      </c>
      <c r="K52">
        <v>0.47634640180044202</v>
      </c>
      <c r="L52">
        <v>0.488897780633962</v>
      </c>
      <c r="M52">
        <v>0.35843044250360701</v>
      </c>
      <c r="N52">
        <v>-13.836734063655401</v>
      </c>
      <c r="O52">
        <v>1</v>
      </c>
      <c r="P52">
        <v>-9.8367340636553493</v>
      </c>
      <c r="R52" t="s">
        <v>86</v>
      </c>
      <c r="S52" t="s">
        <v>3</v>
      </c>
      <c r="T52">
        <v>0.47634641206949502</v>
      </c>
      <c r="U52">
        <v>0.488897792140978</v>
      </c>
      <c r="V52">
        <v>0.35843044340380698</v>
      </c>
      <c r="W52">
        <v>-13.8367338252636</v>
      </c>
      <c r="X52" s="23">
        <v>9.7323310959655295E-9</v>
      </c>
      <c r="Y52">
        <v>-9.8367338252635896</v>
      </c>
      <c r="AA52" t="str">
        <f t="shared" si="0"/>
        <v>BM</v>
      </c>
      <c r="AC52">
        <f t="shared" si="1"/>
        <v>0.35843044250360701</v>
      </c>
    </row>
    <row r="53" spans="1:29" x14ac:dyDescent="0.2">
      <c r="A53" t="s">
        <v>86</v>
      </c>
      <c r="B53" t="s">
        <v>211</v>
      </c>
      <c r="C53">
        <v>-7.9734303779023893E-2</v>
      </c>
      <c r="D53">
        <v>8.4305287516952002E-2</v>
      </c>
      <c r="E53">
        <v>0.37194648573462102</v>
      </c>
      <c r="F53">
        <v>-15.7752979360928</v>
      </c>
      <c r="G53">
        <v>-11.7752979360928</v>
      </c>
      <c r="I53" t="s">
        <v>86</v>
      </c>
      <c r="J53" t="s">
        <v>211</v>
      </c>
      <c r="K53">
        <v>-7.9734303779023893E-2</v>
      </c>
      <c r="L53">
        <v>8.4305287516952002E-2</v>
      </c>
      <c r="M53">
        <v>0.37194648573462102</v>
      </c>
      <c r="N53">
        <v>-13.7752979360928</v>
      </c>
      <c r="O53">
        <v>1</v>
      </c>
      <c r="P53">
        <v>-9.7752979360927501</v>
      </c>
      <c r="R53" t="s">
        <v>86</v>
      </c>
      <c r="S53" t="s">
        <v>211</v>
      </c>
      <c r="T53">
        <v>-7.97343039883322E-2</v>
      </c>
      <c r="U53">
        <v>8.4305290638438807E-2</v>
      </c>
      <c r="V53">
        <v>0.37194650135247198</v>
      </c>
      <c r="W53">
        <v>-13.7752976230773</v>
      </c>
      <c r="X53" s="23">
        <v>1.01298671156068E-8</v>
      </c>
      <c r="Y53">
        <v>-9.7752976230772806</v>
      </c>
      <c r="AA53" t="str">
        <f t="shared" si="0"/>
        <v>BM</v>
      </c>
      <c r="AC53">
        <f t="shared" si="1"/>
        <v>0.37194648573462102</v>
      </c>
    </row>
    <row r="54" spans="1:29" x14ac:dyDescent="0.2">
      <c r="A54" t="s">
        <v>86</v>
      </c>
      <c r="B54" t="s">
        <v>212</v>
      </c>
      <c r="C54">
        <v>0.14866848971767199</v>
      </c>
      <c r="D54">
        <v>0.21251788625972501</v>
      </c>
      <c r="E54">
        <v>0.50403297204347997</v>
      </c>
      <c r="F54">
        <v>-15.3091264260445</v>
      </c>
      <c r="G54">
        <v>-11.3091264260445</v>
      </c>
      <c r="I54" t="s">
        <v>86</v>
      </c>
      <c r="J54" t="s">
        <v>212</v>
      </c>
      <c r="K54">
        <v>0.14866848971767199</v>
      </c>
      <c r="L54">
        <v>0.21251788625972501</v>
      </c>
      <c r="M54">
        <v>0.50403297204347997</v>
      </c>
      <c r="N54">
        <v>-13.3091264260445</v>
      </c>
      <c r="O54">
        <v>1</v>
      </c>
      <c r="P54">
        <v>-9.3091264260445001</v>
      </c>
      <c r="R54" t="s">
        <v>86</v>
      </c>
      <c r="S54" t="s">
        <v>212</v>
      </c>
      <c r="T54">
        <v>0.14866848941986799</v>
      </c>
      <c r="U54">
        <v>0.21251789075587499</v>
      </c>
      <c r="V54">
        <v>0.50403298163577404</v>
      </c>
      <c r="W54">
        <v>-13.3091261923659</v>
      </c>
      <c r="X54" s="23">
        <v>8.5318357885757594E-9</v>
      </c>
      <c r="Y54">
        <v>-9.3091261923659392</v>
      </c>
      <c r="AA54" t="str">
        <f t="shared" si="0"/>
        <v xml:space="preserve"> </v>
      </c>
      <c r="AC54">
        <f t="shared" si="1"/>
        <v>0.50403297204347997</v>
      </c>
    </row>
    <row r="55" spans="1:29" x14ac:dyDescent="0.2">
      <c r="A55" t="s">
        <v>86</v>
      </c>
      <c r="B55" t="s">
        <v>213</v>
      </c>
      <c r="C55">
        <v>-0.13903501361783599</v>
      </c>
      <c r="D55">
        <v>0.188423394779726</v>
      </c>
      <c r="E55">
        <v>0.48166469422382502</v>
      </c>
      <c r="F55">
        <v>-15.3738157254323</v>
      </c>
      <c r="G55">
        <v>-11.3738157254323</v>
      </c>
      <c r="I55" t="s">
        <v>86</v>
      </c>
      <c r="J55" t="s">
        <v>213</v>
      </c>
      <c r="K55">
        <v>-0.13903501361783599</v>
      </c>
      <c r="L55">
        <v>0.188423394779726</v>
      </c>
      <c r="M55">
        <v>0.48166469422382502</v>
      </c>
      <c r="N55">
        <v>-13.3738157254323</v>
      </c>
      <c r="O55">
        <v>1</v>
      </c>
      <c r="P55">
        <v>-9.3738157254323298</v>
      </c>
      <c r="R55" t="s">
        <v>86</v>
      </c>
      <c r="S55" t="s">
        <v>213</v>
      </c>
      <c r="T55">
        <v>-0.139035007529759</v>
      </c>
      <c r="U55">
        <v>0.18842340016306899</v>
      </c>
      <c r="V55">
        <v>0.48166472492837697</v>
      </c>
      <c r="W55">
        <v>-13.373815430227999</v>
      </c>
      <c r="X55" s="23">
        <v>8.4920358075723793E-9</v>
      </c>
      <c r="Y55">
        <v>-9.3738154302279799</v>
      </c>
      <c r="AA55" t="str">
        <f t="shared" si="0"/>
        <v xml:space="preserve"> </v>
      </c>
      <c r="AC55">
        <f t="shared" si="1"/>
        <v>0.48166469422382502</v>
      </c>
    </row>
    <row r="56" spans="1:29" x14ac:dyDescent="0.2">
      <c r="A56" t="s">
        <v>86</v>
      </c>
      <c r="B56" t="s">
        <v>214</v>
      </c>
      <c r="C56">
        <v>-5.4774018438163703E-4</v>
      </c>
      <c r="D56">
        <v>4.5133232906890801E-4</v>
      </c>
      <c r="E56">
        <v>0.259508958899621</v>
      </c>
      <c r="F56">
        <v>-16.4052560875658</v>
      </c>
      <c r="G56">
        <v>-12.4052560875658</v>
      </c>
      <c r="I56" t="s">
        <v>86</v>
      </c>
      <c r="J56" t="s">
        <v>214</v>
      </c>
      <c r="K56">
        <v>-5.4774018438163703E-4</v>
      </c>
      <c r="L56">
        <v>4.5133232906890801E-4</v>
      </c>
      <c r="M56">
        <v>0.259508958899621</v>
      </c>
      <c r="N56">
        <v>-14.4052560875658</v>
      </c>
      <c r="O56">
        <v>1</v>
      </c>
      <c r="P56">
        <v>-10.4052560875658</v>
      </c>
      <c r="R56" t="s">
        <v>86</v>
      </c>
      <c r="S56" t="s">
        <v>214</v>
      </c>
      <c r="T56">
        <v>-5.4774018010201502E-4</v>
      </c>
      <c r="U56">
        <v>4.5133234327323198E-4</v>
      </c>
      <c r="V56">
        <v>0.25950897613631302</v>
      </c>
      <c r="W56">
        <v>-14.4052557576052</v>
      </c>
      <c r="X56" s="23">
        <v>8.4813196046832196E-9</v>
      </c>
      <c r="Y56">
        <v>-10.4052557576052</v>
      </c>
      <c r="AA56" t="str">
        <f t="shared" si="0"/>
        <v xml:space="preserve"> </v>
      </c>
      <c r="AC56">
        <f t="shared" si="1"/>
        <v>0.259508958899621</v>
      </c>
    </row>
    <row r="57" spans="1:29" x14ac:dyDescent="0.2">
      <c r="A57" t="s">
        <v>86</v>
      </c>
      <c r="B57" t="s">
        <v>215</v>
      </c>
      <c r="C57">
        <v>9.6499297819741606E-2</v>
      </c>
      <c r="D57">
        <v>8.3355784108787398E-2</v>
      </c>
      <c r="E57">
        <v>0.28038740756828701</v>
      </c>
      <c r="F57">
        <v>-16.264266310641201</v>
      </c>
      <c r="G57">
        <v>-12.264266310641201</v>
      </c>
      <c r="I57" t="s">
        <v>86</v>
      </c>
      <c r="J57" t="s">
        <v>215</v>
      </c>
      <c r="K57">
        <v>9.6499297819741606E-2</v>
      </c>
      <c r="L57">
        <v>8.3355784108787398E-2</v>
      </c>
      <c r="M57">
        <v>0.28038740756828701</v>
      </c>
      <c r="N57">
        <v>-14.264266310641201</v>
      </c>
      <c r="O57">
        <v>1</v>
      </c>
      <c r="P57">
        <v>-10.264266310641201</v>
      </c>
      <c r="R57" t="s">
        <v>86</v>
      </c>
      <c r="S57" t="s">
        <v>215</v>
      </c>
      <c r="T57">
        <v>9.6499301457110706E-2</v>
      </c>
      <c r="U57">
        <v>8.3355785238482402E-2</v>
      </c>
      <c r="V57">
        <v>0.28038739680274899</v>
      </c>
      <c r="W57">
        <v>-14.264266175512301</v>
      </c>
      <c r="X57" s="23">
        <v>8.6554875249388307E-9</v>
      </c>
      <c r="Y57">
        <v>-10.264266175512301</v>
      </c>
      <c r="AA57" t="str">
        <f t="shared" si="0"/>
        <v xml:space="preserve"> </v>
      </c>
      <c r="AC57">
        <f t="shared" si="1"/>
        <v>0.28038739680274899</v>
      </c>
    </row>
    <row r="58" spans="1:29" x14ac:dyDescent="0.2">
      <c r="A58" t="s">
        <v>86</v>
      </c>
      <c r="B58" t="s">
        <v>25</v>
      </c>
      <c r="C58" s="23">
        <v>-4.3728911671430003E-6</v>
      </c>
      <c r="D58">
        <v>2.3172976252987601E-4</v>
      </c>
      <c r="E58">
        <v>0.98540645088472101</v>
      </c>
      <c r="F58">
        <v>-14.715826368509299</v>
      </c>
      <c r="G58">
        <v>-10.715826368509299</v>
      </c>
      <c r="I58" t="s">
        <v>86</v>
      </c>
      <c r="J58" t="s">
        <v>25</v>
      </c>
      <c r="K58" s="23">
        <v>-4.3728911671430003E-6</v>
      </c>
      <c r="L58">
        <v>2.3172976252987601E-4</v>
      </c>
      <c r="M58">
        <v>0.98540645088472101</v>
      </c>
      <c r="N58">
        <v>-12.715826368509299</v>
      </c>
      <c r="O58">
        <v>1</v>
      </c>
      <c r="P58">
        <v>-8.7158263685092692</v>
      </c>
      <c r="R58" t="s">
        <v>86</v>
      </c>
      <c r="S58" t="s">
        <v>25</v>
      </c>
      <c r="T58" s="23">
        <v>-4.3728884597279798E-6</v>
      </c>
      <c r="U58">
        <v>2.31729768475961E-4</v>
      </c>
      <c r="V58">
        <v>0.98540646029332202</v>
      </c>
      <c r="W58">
        <v>-12.715826160725999</v>
      </c>
      <c r="X58" s="23">
        <v>8.4667308499818997E-9</v>
      </c>
      <c r="Y58">
        <v>-8.7158261607260403</v>
      </c>
      <c r="AA58" t="str">
        <f t="shared" si="0"/>
        <v>BM</v>
      </c>
      <c r="AC58">
        <f t="shared" si="1"/>
        <v>0.98540645088472101</v>
      </c>
    </row>
    <row r="59" spans="1:29" x14ac:dyDescent="0.2">
      <c r="A59" t="s">
        <v>86</v>
      </c>
      <c r="B59" t="s">
        <v>24</v>
      </c>
      <c r="C59">
        <v>-9.4664703530487698E-2</v>
      </c>
      <c r="D59">
        <v>0.113928206205084</v>
      </c>
      <c r="E59">
        <v>0.430120567774046</v>
      </c>
      <c r="F59">
        <v>-15.5431790345877</v>
      </c>
      <c r="G59">
        <v>-11.5431790345877</v>
      </c>
      <c r="I59" t="s">
        <v>86</v>
      </c>
      <c r="J59" t="s">
        <v>24</v>
      </c>
      <c r="K59">
        <v>-9.4664703530487698E-2</v>
      </c>
      <c r="L59">
        <v>0.113928206205084</v>
      </c>
      <c r="M59">
        <v>0.430120567774046</v>
      </c>
      <c r="N59">
        <v>-13.5431790345877</v>
      </c>
      <c r="O59">
        <v>1</v>
      </c>
      <c r="P59">
        <v>-9.5431790345877197</v>
      </c>
      <c r="R59" t="s">
        <v>86</v>
      </c>
      <c r="S59" t="s">
        <v>24</v>
      </c>
      <c r="T59">
        <v>-9.4664706192184297E-2</v>
      </c>
      <c r="U59">
        <v>0.11392820801841</v>
      </c>
      <c r="V59">
        <v>0.43012056237190199</v>
      </c>
      <c r="W59">
        <v>-13.5431788467645</v>
      </c>
      <c r="X59" s="23">
        <v>8.4667308499818997E-9</v>
      </c>
      <c r="Y59">
        <v>-9.54317884676448</v>
      </c>
      <c r="AA59" t="str">
        <f t="shared" si="0"/>
        <v xml:space="preserve"> </v>
      </c>
      <c r="AC59">
        <f t="shared" si="1"/>
        <v>0.43012056237190199</v>
      </c>
    </row>
    <row r="60" spans="1:29" x14ac:dyDescent="0.2">
      <c r="A60" t="s">
        <v>86</v>
      </c>
      <c r="B60" t="s">
        <v>23</v>
      </c>
      <c r="C60">
        <v>3.0531224464863001E-2</v>
      </c>
      <c r="D60">
        <v>1.7514929609278699E-2</v>
      </c>
      <c r="E60">
        <v>0.11947016869905</v>
      </c>
      <c r="F60">
        <v>-17.934936120130601</v>
      </c>
      <c r="G60">
        <v>-13.934936120130599</v>
      </c>
      <c r="I60" t="s">
        <v>86</v>
      </c>
      <c r="J60" t="s">
        <v>23</v>
      </c>
      <c r="K60">
        <v>3.0531224464863001E-2</v>
      </c>
      <c r="L60">
        <v>1.7514929609278699E-2</v>
      </c>
      <c r="M60">
        <v>0.11947016869905</v>
      </c>
      <c r="N60">
        <v>-15.934936120130599</v>
      </c>
      <c r="O60">
        <v>1</v>
      </c>
      <c r="P60">
        <v>-11.934936120130599</v>
      </c>
      <c r="R60" t="s">
        <v>86</v>
      </c>
      <c r="S60" t="s">
        <v>23</v>
      </c>
      <c r="T60">
        <v>3.0531225810154401E-2</v>
      </c>
      <c r="U60">
        <v>1.7514930261194901E-2</v>
      </c>
      <c r="V60">
        <v>0.119470166532698</v>
      </c>
      <c r="W60">
        <v>-15.934935701391099</v>
      </c>
      <c r="X60" s="23">
        <v>1.8788839423786199E-8</v>
      </c>
      <c r="Y60">
        <v>-11.934935701391099</v>
      </c>
      <c r="AA60" t="str">
        <f t="shared" si="0"/>
        <v xml:space="preserve"> </v>
      </c>
      <c r="AC60">
        <f t="shared" si="1"/>
        <v>0.119470166532698</v>
      </c>
    </row>
    <row r="61" spans="1:29" x14ac:dyDescent="0.2">
      <c r="A61" t="s">
        <v>86</v>
      </c>
      <c r="B61" t="s">
        <v>220</v>
      </c>
      <c r="C61" s="23">
        <v>-8.1318901932095195E-5</v>
      </c>
      <c r="D61" s="23">
        <v>9.3808007006736195E-5</v>
      </c>
      <c r="E61">
        <v>0.41126060966167299</v>
      </c>
      <c r="F61">
        <v>-15.6131659809644</v>
      </c>
      <c r="G61">
        <v>-11.6131659809644</v>
      </c>
      <c r="I61" t="s">
        <v>86</v>
      </c>
      <c r="J61" t="s">
        <v>220</v>
      </c>
      <c r="K61" s="23">
        <v>-8.1318901932095195E-5</v>
      </c>
      <c r="L61" s="23">
        <v>9.3808007006736195E-5</v>
      </c>
      <c r="M61">
        <v>0.41126060966167299</v>
      </c>
      <c r="N61">
        <v>-13.6131659809644</v>
      </c>
      <c r="O61">
        <v>1</v>
      </c>
      <c r="P61">
        <v>-9.6131659809644106</v>
      </c>
      <c r="R61" t="s">
        <v>86</v>
      </c>
      <c r="S61" t="s">
        <v>220</v>
      </c>
      <c r="T61" s="23">
        <v>-8.1318903975966696E-5</v>
      </c>
      <c r="U61" s="23">
        <v>9.3808008687391606E-5</v>
      </c>
      <c r="V61">
        <v>0.41126060643078099</v>
      </c>
      <c r="W61">
        <v>-13.6131657910824</v>
      </c>
      <c r="X61" s="23">
        <v>8.5374300028861808E-9</v>
      </c>
      <c r="Y61">
        <v>-9.6131657910823893</v>
      </c>
      <c r="AA61" t="str">
        <f t="shared" si="0"/>
        <v xml:space="preserve"> </v>
      </c>
      <c r="AC61">
        <f t="shared" si="1"/>
        <v>0.41126060643078099</v>
      </c>
    </row>
    <row r="62" spans="1:29" x14ac:dyDescent="0.2">
      <c r="A62" t="s">
        <v>2</v>
      </c>
      <c r="B62" t="s">
        <v>19</v>
      </c>
      <c r="C62">
        <v>197.99552403675901</v>
      </c>
      <c r="D62">
        <v>219.866605165582</v>
      </c>
      <c r="E62">
        <v>0.39414085391739301</v>
      </c>
      <c r="F62">
        <v>112.29642730606299</v>
      </c>
      <c r="G62">
        <v>116.29642730606299</v>
      </c>
      <c r="I62" t="s">
        <v>2</v>
      </c>
      <c r="J62" t="s">
        <v>19</v>
      </c>
      <c r="K62">
        <v>197.99552403675901</v>
      </c>
      <c r="L62">
        <v>219.866605165582</v>
      </c>
      <c r="M62">
        <v>0.39414085391739301</v>
      </c>
      <c r="N62">
        <v>114.29642730606299</v>
      </c>
      <c r="O62">
        <v>1</v>
      </c>
      <c r="P62">
        <v>118.29642730606299</v>
      </c>
      <c r="R62" t="s">
        <v>2</v>
      </c>
      <c r="S62" t="s">
        <v>19</v>
      </c>
      <c r="T62">
        <v>197.99552915248401</v>
      </c>
      <c r="U62">
        <v>219.86660905366699</v>
      </c>
      <c r="V62">
        <v>0.39414085023983703</v>
      </c>
      <c r="W62">
        <v>114.296427476372</v>
      </c>
      <c r="X62" s="23">
        <v>8.4667308499818997E-9</v>
      </c>
      <c r="Y62">
        <v>118.296427476372</v>
      </c>
      <c r="AA62" t="str">
        <f t="shared" si="0"/>
        <v xml:space="preserve"> </v>
      </c>
      <c r="AC62">
        <f t="shared" si="1"/>
        <v>0.39414085023983703</v>
      </c>
    </row>
    <row r="63" spans="1:29" x14ac:dyDescent="0.2">
      <c r="A63" t="s">
        <v>2</v>
      </c>
      <c r="B63" t="s">
        <v>20</v>
      </c>
      <c r="C63">
        <v>51.174638728273301</v>
      </c>
      <c r="D63">
        <v>98.343076108548402</v>
      </c>
      <c r="E63">
        <v>0.61689705108994497</v>
      </c>
      <c r="F63">
        <v>112.92908370265501</v>
      </c>
      <c r="G63">
        <v>116.92908370265501</v>
      </c>
      <c r="I63" t="s">
        <v>2</v>
      </c>
      <c r="J63" t="s">
        <v>20</v>
      </c>
      <c r="K63">
        <v>51.174638728273301</v>
      </c>
      <c r="L63">
        <v>98.343076108548402</v>
      </c>
      <c r="M63">
        <v>0.61689705108994497</v>
      </c>
      <c r="N63">
        <v>114.92908370265501</v>
      </c>
      <c r="O63">
        <v>1</v>
      </c>
      <c r="P63">
        <v>118.92908370265501</v>
      </c>
      <c r="R63" t="s">
        <v>2</v>
      </c>
      <c r="S63" t="s">
        <v>20</v>
      </c>
      <c r="T63">
        <v>51.174657067743702</v>
      </c>
      <c r="U63">
        <v>98.3430774715262</v>
      </c>
      <c r="V63">
        <v>0.61689693172906501</v>
      </c>
      <c r="W63">
        <v>114.929084039391</v>
      </c>
      <c r="X63" s="23">
        <v>2.5885364650525499E-8</v>
      </c>
      <c r="Y63">
        <v>118.929084039391</v>
      </c>
      <c r="AA63" t="str">
        <f t="shared" si="0"/>
        <v xml:space="preserve"> </v>
      </c>
      <c r="AC63">
        <f t="shared" si="1"/>
        <v>0.61689693172906501</v>
      </c>
    </row>
    <row r="64" spans="1:29" x14ac:dyDescent="0.2">
      <c r="A64" t="s">
        <v>2</v>
      </c>
      <c r="B64" t="s">
        <v>21</v>
      </c>
      <c r="C64">
        <v>0.13276511755713</v>
      </c>
      <c r="D64">
        <v>0.29179407230891002</v>
      </c>
      <c r="E64">
        <v>0.66120556599961</v>
      </c>
      <c r="F64">
        <v>113.006475550734</v>
      </c>
      <c r="G64">
        <v>117.006475550734</v>
      </c>
      <c r="I64" t="s">
        <v>2</v>
      </c>
      <c r="J64" t="s">
        <v>21</v>
      </c>
      <c r="K64">
        <v>0.13276511755713</v>
      </c>
      <c r="L64">
        <v>0.29179407230891002</v>
      </c>
      <c r="M64">
        <v>0.66120556599961</v>
      </c>
      <c r="N64">
        <v>115.006475550734</v>
      </c>
      <c r="O64">
        <v>1</v>
      </c>
      <c r="P64">
        <v>119.006475550734</v>
      </c>
      <c r="R64" t="s">
        <v>2</v>
      </c>
      <c r="S64" t="s">
        <v>21</v>
      </c>
      <c r="T64">
        <v>0.13276513442989599</v>
      </c>
      <c r="U64">
        <v>0.29179407735740098</v>
      </c>
      <c r="V64">
        <v>0.66120553156250705</v>
      </c>
      <c r="W64">
        <v>115.00647568714901</v>
      </c>
      <c r="X64" s="23">
        <v>8.9072238873419001E-9</v>
      </c>
      <c r="Y64">
        <v>119.00647568714901</v>
      </c>
      <c r="AA64" t="str">
        <f t="shared" si="0"/>
        <v xml:space="preserve"> </v>
      </c>
      <c r="AC64">
        <f t="shared" si="1"/>
        <v>0.66120553156250705</v>
      </c>
    </row>
    <row r="65" spans="1:29" x14ac:dyDescent="0.2">
      <c r="A65" t="s">
        <v>2</v>
      </c>
      <c r="B65" t="s">
        <v>198</v>
      </c>
      <c r="C65">
        <v>37.440342419827601</v>
      </c>
      <c r="D65">
        <v>13.895459867132001</v>
      </c>
      <c r="E65">
        <v>2.7308599194075099E-2</v>
      </c>
      <c r="F65">
        <v>106.804056903109</v>
      </c>
      <c r="G65">
        <v>110.804056903109</v>
      </c>
      <c r="I65" t="s">
        <v>2</v>
      </c>
      <c r="J65" t="s">
        <v>198</v>
      </c>
      <c r="K65">
        <v>37.440342419827601</v>
      </c>
      <c r="L65">
        <v>13.895459867132001</v>
      </c>
      <c r="M65">
        <v>2.7308599194075099E-2</v>
      </c>
      <c r="N65">
        <v>108.804056903109</v>
      </c>
      <c r="O65">
        <v>1</v>
      </c>
      <c r="P65">
        <v>112.804056903109</v>
      </c>
      <c r="R65" t="s">
        <v>2</v>
      </c>
      <c r="S65" t="s">
        <v>198</v>
      </c>
      <c r="T65">
        <v>38.115381063189702</v>
      </c>
      <c r="U65">
        <v>13.9068116642694</v>
      </c>
      <c r="V65">
        <v>2.5418933601928002E-2</v>
      </c>
      <c r="W65">
        <v>108.80247468034899</v>
      </c>
      <c r="X65">
        <v>7.1958542254081199E-3</v>
      </c>
      <c r="Y65">
        <v>112.80247468034899</v>
      </c>
      <c r="AA65" t="str">
        <f t="shared" si="0"/>
        <v xml:space="preserve"> </v>
      </c>
      <c r="AC65">
        <f t="shared" si="1"/>
        <v>2.5418933601928002E-2</v>
      </c>
    </row>
    <row r="66" spans="1:29" x14ac:dyDescent="0.2">
      <c r="A66" t="s">
        <v>2</v>
      </c>
      <c r="B66" t="s">
        <v>199</v>
      </c>
      <c r="C66">
        <v>0.23791813699773301</v>
      </c>
      <c r="D66">
        <v>1.3341848996666601</v>
      </c>
      <c r="E66">
        <v>0.86290097351302397</v>
      </c>
      <c r="F66">
        <v>113.222289742537</v>
      </c>
      <c r="G66">
        <v>117.222289742537</v>
      </c>
      <c r="I66" t="s">
        <v>2</v>
      </c>
      <c r="J66" t="s">
        <v>199</v>
      </c>
      <c r="K66">
        <v>0.23791813699773301</v>
      </c>
      <c r="L66">
        <v>1.3341848996666601</v>
      </c>
      <c r="M66">
        <v>0.86290097351302397</v>
      </c>
      <c r="N66">
        <v>115.222289742537</v>
      </c>
      <c r="O66">
        <v>1</v>
      </c>
      <c r="P66">
        <v>119.222289742537</v>
      </c>
      <c r="R66" t="s">
        <v>2</v>
      </c>
      <c r="S66" t="s">
        <v>199</v>
      </c>
      <c r="T66">
        <v>0.23791810152599399</v>
      </c>
      <c r="U66">
        <v>1.3341849248890201</v>
      </c>
      <c r="V66">
        <v>0.86290099627253203</v>
      </c>
      <c r="W66">
        <v>115.222289941158</v>
      </c>
      <c r="X66" s="23">
        <v>8.4667308499818997E-9</v>
      </c>
      <c r="Y66">
        <v>119.222289941158</v>
      </c>
      <c r="AA66" t="str">
        <f t="shared" si="0"/>
        <v xml:space="preserve"> </v>
      </c>
      <c r="AC66">
        <f t="shared" si="1"/>
        <v>0.86290097351302397</v>
      </c>
    </row>
    <row r="67" spans="1:29" x14ac:dyDescent="0.2">
      <c r="A67" t="s">
        <v>2</v>
      </c>
      <c r="B67" t="s">
        <v>200</v>
      </c>
      <c r="C67">
        <v>2.9919645152802699</v>
      </c>
      <c r="D67">
        <v>1.90683482621765</v>
      </c>
      <c r="E67">
        <v>0.155269457867239</v>
      </c>
      <c r="F67">
        <v>110.57888670912401</v>
      </c>
      <c r="G67">
        <v>114.57888670912401</v>
      </c>
      <c r="I67" t="s">
        <v>2</v>
      </c>
      <c r="J67" t="s">
        <v>200</v>
      </c>
      <c r="K67">
        <v>6.1480556161084197</v>
      </c>
      <c r="L67">
        <v>1.06494240282932</v>
      </c>
      <c r="M67">
        <v>4.1778268742227102E-4</v>
      </c>
      <c r="N67">
        <v>110.309985845225</v>
      </c>
      <c r="O67" s="23">
        <v>9.9999999999999903E-8</v>
      </c>
      <c r="P67">
        <v>114.309985845225</v>
      </c>
      <c r="R67" t="s">
        <v>2</v>
      </c>
      <c r="S67" t="s">
        <v>200</v>
      </c>
      <c r="T67">
        <v>6.1480556070534904</v>
      </c>
      <c r="U67">
        <v>1.064945290122</v>
      </c>
      <c r="V67">
        <v>4.1779016864295802E-4</v>
      </c>
      <c r="W67">
        <v>110.310005377446</v>
      </c>
      <c r="X67">
        <v>4.23336542499095</v>
      </c>
      <c r="Y67">
        <v>114.310005377446</v>
      </c>
      <c r="AA67" t="str">
        <f t="shared" si="0"/>
        <v xml:space="preserve"> </v>
      </c>
      <c r="AC67">
        <f t="shared" si="1"/>
        <v>4.1778268742227102E-4</v>
      </c>
    </row>
    <row r="68" spans="1:29" x14ac:dyDescent="0.2">
      <c r="A68" t="s">
        <v>2</v>
      </c>
      <c r="B68" t="s">
        <v>201</v>
      </c>
      <c r="C68">
        <v>0.11440387817551199</v>
      </c>
      <c r="D68">
        <v>0.28047162720369101</v>
      </c>
      <c r="E68">
        <v>0.69404660834354703</v>
      </c>
      <c r="F68">
        <v>113.056117557096</v>
      </c>
      <c r="G68">
        <v>117.056117557096</v>
      </c>
      <c r="I68" t="s">
        <v>2</v>
      </c>
      <c r="J68" t="s">
        <v>201</v>
      </c>
      <c r="K68">
        <v>0.11440387817551199</v>
      </c>
      <c r="L68">
        <v>0.28047162720369101</v>
      </c>
      <c r="M68">
        <v>0.69404660834354703</v>
      </c>
      <c r="N68">
        <v>115.056117557096</v>
      </c>
      <c r="O68">
        <v>1</v>
      </c>
      <c r="P68">
        <v>119.056117557096</v>
      </c>
      <c r="R68" t="s">
        <v>2</v>
      </c>
      <c r="S68" t="s">
        <v>201</v>
      </c>
      <c r="T68">
        <v>0.114403878886157</v>
      </c>
      <c r="U68">
        <v>0.280471632059836</v>
      </c>
      <c r="V68">
        <v>0.69404661153616298</v>
      </c>
      <c r="W68">
        <v>115.05611774693899</v>
      </c>
      <c r="X68" s="23">
        <v>8.4667308499818997E-9</v>
      </c>
      <c r="Y68">
        <v>119.05611774693899</v>
      </c>
      <c r="AA68" t="str">
        <f t="shared" si="0"/>
        <v xml:space="preserve"> </v>
      </c>
      <c r="AC68">
        <f t="shared" si="1"/>
        <v>0.69404660834354703</v>
      </c>
    </row>
    <row r="69" spans="1:29" x14ac:dyDescent="0.2">
      <c r="A69" t="s">
        <v>2</v>
      </c>
      <c r="B69" t="s">
        <v>202</v>
      </c>
      <c r="C69">
        <v>20.895223670146699</v>
      </c>
      <c r="D69">
        <v>13.266776906349</v>
      </c>
      <c r="E69">
        <v>0.15390374408378599</v>
      </c>
      <c r="F69">
        <v>110.561081512523</v>
      </c>
      <c r="G69">
        <v>114.561081512523</v>
      </c>
      <c r="I69" t="s">
        <v>2</v>
      </c>
      <c r="J69" t="s">
        <v>202</v>
      </c>
      <c r="K69">
        <v>39.806233699487102</v>
      </c>
      <c r="L69">
        <v>6.8133260935138704</v>
      </c>
      <c r="M69">
        <v>3.8608710994312602E-4</v>
      </c>
      <c r="N69">
        <v>110.11716219437</v>
      </c>
      <c r="O69" s="23">
        <v>9.9999999999999903E-8</v>
      </c>
      <c r="P69">
        <v>114.11716219437</v>
      </c>
      <c r="R69" t="s">
        <v>2</v>
      </c>
      <c r="S69" t="s">
        <v>202</v>
      </c>
      <c r="T69">
        <v>39.866507150924697</v>
      </c>
      <c r="U69">
        <v>6.8610671343471497</v>
      </c>
      <c r="V69">
        <v>4.0032691006981899E-4</v>
      </c>
      <c r="W69">
        <v>110.11201873869901</v>
      </c>
      <c r="X69">
        <v>1.0644916911949101</v>
      </c>
      <c r="Y69">
        <v>114.11201873869901</v>
      </c>
      <c r="AA69" t="str">
        <f t="shared" si="0"/>
        <v xml:space="preserve"> </v>
      </c>
      <c r="AC69">
        <f t="shared" si="1"/>
        <v>3.8608710994312602E-4</v>
      </c>
    </row>
    <row r="70" spans="1:29" x14ac:dyDescent="0.2">
      <c r="A70" t="s">
        <v>2</v>
      </c>
      <c r="B70" t="s">
        <v>203</v>
      </c>
      <c r="C70">
        <v>1.6882254323330301E-3</v>
      </c>
      <c r="D70">
        <v>3.4008071410452999E-2</v>
      </c>
      <c r="E70">
        <v>0.96162477910731303</v>
      </c>
      <c r="F70">
        <v>113.25888065392201</v>
      </c>
      <c r="G70">
        <v>117.25888065392201</v>
      </c>
      <c r="I70" t="s">
        <v>2</v>
      </c>
      <c r="J70" t="s">
        <v>203</v>
      </c>
      <c r="K70">
        <v>1.6882254323330301E-3</v>
      </c>
      <c r="L70">
        <v>3.4008071410452999E-2</v>
      </c>
      <c r="M70">
        <v>0.96162477910731303</v>
      </c>
      <c r="N70">
        <v>115.25888065392201</v>
      </c>
      <c r="O70">
        <v>1</v>
      </c>
      <c r="P70">
        <v>119.25888065392201</v>
      </c>
      <c r="R70" t="s">
        <v>2</v>
      </c>
      <c r="S70" t="s">
        <v>203</v>
      </c>
      <c r="T70">
        <v>1.6882236255104401E-3</v>
      </c>
      <c r="U70">
        <v>3.4008072090868403E-2</v>
      </c>
      <c r="V70">
        <v>0.96162482090752499</v>
      </c>
      <c r="W70">
        <v>115.258880875323</v>
      </c>
      <c r="X70" s="23">
        <v>1.00445127495733E-8</v>
      </c>
      <c r="Y70">
        <v>119.258880875323</v>
      </c>
      <c r="AA70" t="str">
        <f t="shared" ref="AA70:AA133" si="2">IF(AND(G70-P70&lt;-2, G70-Y70&lt;-2), "BM", IF(OR(P70-G70&lt;-2, Y70-G70&lt;-2), IF(AND(P70-G70&lt;-2, Y70-G70&gt;-2), "P ", IF(AND(P70-G70&lt;-2, Y70-G70&lt;-2), "P &amp; OU ", "OU ")), " "))</f>
        <v xml:space="preserve"> </v>
      </c>
      <c r="AC70">
        <f t="shared" ref="AC70:AC133" si="3">MIN(E70,M70,V70)</f>
        <v>0.96162477910731303</v>
      </c>
    </row>
    <row r="71" spans="1:29" x14ac:dyDescent="0.2">
      <c r="A71" t="s">
        <v>2</v>
      </c>
      <c r="B71" t="s">
        <v>204</v>
      </c>
      <c r="C71">
        <v>31.268702188293201</v>
      </c>
      <c r="D71">
        <v>36.805086037635903</v>
      </c>
      <c r="E71">
        <v>0.42025696090796899</v>
      </c>
      <c r="F71">
        <v>112.398144075611</v>
      </c>
      <c r="G71">
        <v>116.398144075611</v>
      </c>
      <c r="I71" t="s">
        <v>2</v>
      </c>
      <c r="J71" t="s">
        <v>204</v>
      </c>
      <c r="K71">
        <v>31.268702188293201</v>
      </c>
      <c r="L71">
        <v>36.805086037635903</v>
      </c>
      <c r="M71">
        <v>0.42025696090796899</v>
      </c>
      <c r="N71">
        <v>114.398144075611</v>
      </c>
      <c r="O71">
        <v>1</v>
      </c>
      <c r="P71">
        <v>118.398144075611</v>
      </c>
      <c r="R71" t="s">
        <v>2</v>
      </c>
      <c r="S71" t="s">
        <v>204</v>
      </c>
      <c r="T71">
        <v>31.268703476637501</v>
      </c>
      <c r="U71">
        <v>36.805086957205702</v>
      </c>
      <c r="V71">
        <v>0.42025695368407801</v>
      </c>
      <c r="W71">
        <v>114.398144234087</v>
      </c>
      <c r="X71" s="23">
        <v>8.4667308499818997E-9</v>
      </c>
      <c r="Y71">
        <v>118.398144234087</v>
      </c>
      <c r="AA71" t="str">
        <f t="shared" si="2"/>
        <v xml:space="preserve"> </v>
      </c>
      <c r="AC71">
        <f t="shared" si="3"/>
        <v>0.42025695368407801</v>
      </c>
    </row>
    <row r="72" spans="1:29" x14ac:dyDescent="0.2">
      <c r="A72" t="s">
        <v>2</v>
      </c>
      <c r="B72" t="s">
        <v>206</v>
      </c>
      <c r="C72">
        <v>-4.7031465244876802</v>
      </c>
      <c r="D72">
        <v>4.2719698675412703</v>
      </c>
      <c r="E72">
        <v>0.30294568498928198</v>
      </c>
      <c r="F72">
        <v>111.851251531438</v>
      </c>
      <c r="G72">
        <v>115.851251531438</v>
      </c>
      <c r="I72" t="s">
        <v>2</v>
      </c>
      <c r="J72" t="s">
        <v>206</v>
      </c>
      <c r="K72">
        <v>-4.7031465244876802</v>
      </c>
      <c r="L72">
        <v>4.2719698675412703</v>
      </c>
      <c r="M72">
        <v>0.30294568498928198</v>
      </c>
      <c r="N72">
        <v>113.851251531438</v>
      </c>
      <c r="O72">
        <v>1</v>
      </c>
      <c r="P72">
        <v>117.851251531438</v>
      </c>
      <c r="R72" t="s">
        <v>2</v>
      </c>
      <c r="S72" t="s">
        <v>206</v>
      </c>
      <c r="T72">
        <v>-4.7031465976367803</v>
      </c>
      <c r="U72">
        <v>4.2719699372738598</v>
      </c>
      <c r="V72">
        <v>0.30294568533680999</v>
      </c>
      <c r="W72">
        <v>113.851251718783</v>
      </c>
      <c r="X72" s="23">
        <v>8.4667308499818997E-9</v>
      </c>
      <c r="Y72">
        <v>117.851251718783</v>
      </c>
      <c r="AA72" t="str">
        <f t="shared" si="2"/>
        <v xml:space="preserve"> </v>
      </c>
      <c r="AC72">
        <f t="shared" si="3"/>
        <v>0.30294568498928198</v>
      </c>
    </row>
    <row r="73" spans="1:29" x14ac:dyDescent="0.2">
      <c r="A73" t="s">
        <v>2</v>
      </c>
      <c r="B73" t="s">
        <v>205</v>
      </c>
      <c r="C73">
        <v>72.612000229167194</v>
      </c>
      <c r="D73">
        <v>79.089294793070195</v>
      </c>
      <c r="E73">
        <v>0.38540917660130303</v>
      </c>
      <c r="F73">
        <v>112.260215501551</v>
      </c>
      <c r="G73">
        <v>116.260215501551</v>
      </c>
      <c r="I73" t="s">
        <v>2</v>
      </c>
      <c r="J73" t="s">
        <v>205</v>
      </c>
      <c r="K73">
        <v>72.612000229167194</v>
      </c>
      <c r="L73">
        <v>79.089294793070195</v>
      </c>
      <c r="M73">
        <v>0.38540917660130303</v>
      </c>
      <c r="N73">
        <v>114.260215501551</v>
      </c>
      <c r="O73">
        <v>1</v>
      </c>
      <c r="P73">
        <v>118.260215501551</v>
      </c>
      <c r="R73" t="s">
        <v>2</v>
      </c>
      <c r="S73" t="s">
        <v>205</v>
      </c>
      <c r="T73">
        <v>72.612003627374605</v>
      </c>
      <c r="U73">
        <v>79.089295783402093</v>
      </c>
      <c r="V73">
        <v>0.38540916109409501</v>
      </c>
      <c r="W73">
        <v>114.26021562152199</v>
      </c>
      <c r="X73" s="23">
        <v>8.4667308499818997E-9</v>
      </c>
      <c r="Y73">
        <v>118.26021562152199</v>
      </c>
      <c r="AA73" t="str">
        <f t="shared" si="2"/>
        <v xml:space="preserve"> </v>
      </c>
      <c r="AC73">
        <f t="shared" si="3"/>
        <v>0.38540916109409501</v>
      </c>
    </row>
    <row r="74" spans="1:29" x14ac:dyDescent="0.2">
      <c r="A74" t="s">
        <v>2</v>
      </c>
      <c r="B74" t="s">
        <v>207</v>
      </c>
      <c r="C74">
        <v>0.33196045775025401</v>
      </c>
      <c r="D74">
        <v>0.31920497456484898</v>
      </c>
      <c r="E74">
        <v>0.32876531547510901</v>
      </c>
      <c r="F74">
        <v>111.99396334578</v>
      </c>
      <c r="G74">
        <v>115.99396334578</v>
      </c>
      <c r="I74" t="s">
        <v>2</v>
      </c>
      <c r="J74" t="s">
        <v>207</v>
      </c>
      <c r="K74">
        <v>0.33196045775025401</v>
      </c>
      <c r="L74">
        <v>0.31920497456484898</v>
      </c>
      <c r="M74">
        <v>0.32876531547510901</v>
      </c>
      <c r="N74">
        <v>113.99396334578</v>
      </c>
      <c r="O74">
        <v>1</v>
      </c>
      <c r="P74">
        <v>117.99396334578</v>
      </c>
      <c r="R74" t="s">
        <v>2</v>
      </c>
      <c r="S74" t="s">
        <v>207</v>
      </c>
      <c r="T74">
        <v>0.33196045928211299</v>
      </c>
      <c r="U74">
        <v>0.319204984580027</v>
      </c>
      <c r="V74">
        <v>0.32876532764007599</v>
      </c>
      <c r="W74">
        <v>113.993963653758</v>
      </c>
      <c r="X74" s="23">
        <v>1.13919297748029E-8</v>
      </c>
      <c r="Y74">
        <v>117.993963653758</v>
      </c>
      <c r="AA74" t="str">
        <f t="shared" si="2"/>
        <v xml:space="preserve"> </v>
      </c>
      <c r="AC74">
        <f t="shared" si="3"/>
        <v>0.32876531547510901</v>
      </c>
    </row>
    <row r="75" spans="1:29" x14ac:dyDescent="0.2">
      <c r="A75" t="s">
        <v>2</v>
      </c>
      <c r="B75" t="s">
        <v>208</v>
      </c>
      <c r="C75">
        <v>-16.066579330385299</v>
      </c>
      <c r="D75">
        <v>21.398815787018801</v>
      </c>
      <c r="E75">
        <v>0.47426634183926702</v>
      </c>
      <c r="F75">
        <v>112.581023298139</v>
      </c>
      <c r="G75">
        <v>116.581023298139</v>
      </c>
      <c r="I75" t="s">
        <v>2</v>
      </c>
      <c r="J75" t="s">
        <v>208</v>
      </c>
      <c r="K75">
        <v>-16.066579330385299</v>
      </c>
      <c r="L75">
        <v>21.398815787018801</v>
      </c>
      <c r="M75">
        <v>0.47426634183926702</v>
      </c>
      <c r="N75">
        <v>114.581023298139</v>
      </c>
      <c r="O75">
        <v>1</v>
      </c>
      <c r="P75">
        <v>118.581023298139</v>
      </c>
      <c r="R75" t="s">
        <v>2</v>
      </c>
      <c r="S75" t="s">
        <v>208</v>
      </c>
      <c r="T75">
        <v>-16.066578425658399</v>
      </c>
      <c r="U75">
        <v>21.398816946066098</v>
      </c>
      <c r="V75">
        <v>0.47426638905907798</v>
      </c>
      <c r="W75">
        <v>114.58102381601999</v>
      </c>
      <c r="X75" s="23">
        <v>1.7209375547404001E-8</v>
      </c>
      <c r="Y75">
        <v>118.58102381601999</v>
      </c>
      <c r="AA75" t="str">
        <f t="shared" si="2"/>
        <v xml:space="preserve"> </v>
      </c>
      <c r="AC75">
        <f t="shared" si="3"/>
        <v>0.47426634183926702</v>
      </c>
    </row>
    <row r="76" spans="1:29" x14ac:dyDescent="0.2">
      <c r="A76" t="s">
        <v>2</v>
      </c>
      <c r="B76" t="s">
        <v>209</v>
      </c>
      <c r="C76">
        <v>0.11893337272032301</v>
      </c>
      <c r="D76">
        <v>0.136751409419159</v>
      </c>
      <c r="E76">
        <v>0.40979619942213602</v>
      </c>
      <c r="F76">
        <v>112.35854263999801</v>
      </c>
      <c r="G76">
        <v>116.35854263999801</v>
      </c>
      <c r="I76" t="s">
        <v>2</v>
      </c>
      <c r="J76" t="s">
        <v>209</v>
      </c>
      <c r="K76">
        <v>0.11893337272032301</v>
      </c>
      <c r="L76">
        <v>0.136751409419159</v>
      </c>
      <c r="M76">
        <v>0.40979619942213602</v>
      </c>
      <c r="N76">
        <v>114.35854263999801</v>
      </c>
      <c r="O76">
        <v>1</v>
      </c>
      <c r="P76">
        <v>118.35854263999801</v>
      </c>
      <c r="R76" t="s">
        <v>2</v>
      </c>
      <c r="S76" t="s">
        <v>209</v>
      </c>
      <c r="T76">
        <v>0.118933371768775</v>
      </c>
      <c r="U76">
        <v>0.13675141257126799</v>
      </c>
      <c r="V76">
        <v>0.40979621333087801</v>
      </c>
      <c r="W76">
        <v>114.35854287895999</v>
      </c>
      <c r="X76" s="23">
        <v>8.4667308499818997E-9</v>
      </c>
      <c r="Y76">
        <v>118.35854287895999</v>
      </c>
      <c r="AA76" t="str">
        <f t="shared" si="2"/>
        <v xml:space="preserve"> </v>
      </c>
      <c r="AC76">
        <f t="shared" si="3"/>
        <v>0.40979619942213602</v>
      </c>
    </row>
    <row r="77" spans="1:29" x14ac:dyDescent="0.2">
      <c r="A77" t="s">
        <v>2</v>
      </c>
      <c r="B77" t="s">
        <v>210</v>
      </c>
      <c r="C77">
        <v>-2.3059532549260102</v>
      </c>
      <c r="D77">
        <v>30.392330079352899</v>
      </c>
      <c r="E77">
        <v>0.94138333509427996</v>
      </c>
      <c r="F77">
        <v>113.254767300544</v>
      </c>
      <c r="G77">
        <v>117.254767300544</v>
      </c>
      <c r="I77" t="s">
        <v>2</v>
      </c>
      <c r="J77" t="s">
        <v>210</v>
      </c>
      <c r="K77">
        <v>-2.3059532549260102</v>
      </c>
      <c r="L77">
        <v>30.392330079352899</v>
      </c>
      <c r="M77">
        <v>0.94138333509427996</v>
      </c>
      <c r="N77">
        <v>115.254767300544</v>
      </c>
      <c r="O77">
        <v>1</v>
      </c>
      <c r="P77">
        <v>119.254767300544</v>
      </c>
      <c r="R77" t="s">
        <v>2</v>
      </c>
      <c r="S77" t="s">
        <v>210</v>
      </c>
      <c r="T77">
        <v>-2.30595349165776</v>
      </c>
      <c r="U77">
        <v>30.392330807868898</v>
      </c>
      <c r="V77">
        <v>0.94138333049163603</v>
      </c>
      <c r="W77">
        <v>115.25476748407399</v>
      </c>
      <c r="X77" s="23">
        <v>8.5528906004661597E-9</v>
      </c>
      <c r="Y77">
        <v>119.25476748407399</v>
      </c>
      <c r="AA77" t="str">
        <f t="shared" si="2"/>
        <v xml:space="preserve"> </v>
      </c>
      <c r="AC77">
        <f t="shared" si="3"/>
        <v>0.94138333049163603</v>
      </c>
    </row>
    <row r="78" spans="1:29" x14ac:dyDescent="0.2">
      <c r="A78" t="s">
        <v>2</v>
      </c>
      <c r="B78" t="s">
        <v>4</v>
      </c>
      <c r="C78">
        <v>-37.233579352707302</v>
      </c>
      <c r="D78">
        <v>26.8739441435809</v>
      </c>
      <c r="E78">
        <v>0.203304053923197</v>
      </c>
      <c r="F78">
        <v>111.111267774995</v>
      </c>
      <c r="G78">
        <v>115.111267774995</v>
      </c>
      <c r="I78" t="s">
        <v>2</v>
      </c>
      <c r="J78" t="s">
        <v>4</v>
      </c>
      <c r="K78">
        <v>-37.233579352707302</v>
      </c>
      <c r="L78">
        <v>26.8739441435809</v>
      </c>
      <c r="M78">
        <v>0.203304053923197</v>
      </c>
      <c r="N78">
        <v>113.111267774995</v>
      </c>
      <c r="O78">
        <v>1</v>
      </c>
      <c r="P78">
        <v>117.111267774995</v>
      </c>
      <c r="R78" t="s">
        <v>2</v>
      </c>
      <c r="S78" t="s">
        <v>4</v>
      </c>
      <c r="T78">
        <v>-37.233579672867798</v>
      </c>
      <c r="U78">
        <v>26.873944775446301</v>
      </c>
      <c r="V78">
        <v>0.20330405999433901</v>
      </c>
      <c r="W78">
        <v>113.111268018033</v>
      </c>
      <c r="X78" s="23">
        <v>8.4667308499818997E-9</v>
      </c>
      <c r="Y78">
        <v>117.111268018033</v>
      </c>
      <c r="AA78" t="str">
        <f t="shared" si="2"/>
        <v xml:space="preserve"> </v>
      </c>
      <c r="AC78">
        <f t="shared" si="3"/>
        <v>0.203304053923197</v>
      </c>
    </row>
    <row r="79" spans="1:29" x14ac:dyDescent="0.2">
      <c r="A79" t="s">
        <v>2</v>
      </c>
      <c r="B79" t="s">
        <v>3</v>
      </c>
      <c r="C79">
        <v>422.44671859276298</v>
      </c>
      <c r="D79">
        <v>272.625013957953</v>
      </c>
      <c r="E79">
        <v>0.15984326028687201</v>
      </c>
      <c r="F79">
        <v>110.637248429088</v>
      </c>
      <c r="G79">
        <v>114.637248429088</v>
      </c>
      <c r="I79" t="s">
        <v>2</v>
      </c>
      <c r="J79" t="s">
        <v>3</v>
      </c>
      <c r="K79">
        <v>422.44671859276298</v>
      </c>
      <c r="L79">
        <v>272.625013957953</v>
      </c>
      <c r="M79">
        <v>0.15984326028687201</v>
      </c>
      <c r="N79">
        <v>112.637248429088</v>
      </c>
      <c r="O79">
        <v>1</v>
      </c>
      <c r="P79">
        <v>116.637248429088</v>
      </c>
      <c r="R79" t="s">
        <v>2</v>
      </c>
      <c r="S79" t="s">
        <v>3</v>
      </c>
      <c r="T79">
        <v>422.44672718280401</v>
      </c>
      <c r="U79">
        <v>272.62502333290701</v>
      </c>
      <c r="V79">
        <v>0.159843265456342</v>
      </c>
      <c r="W79">
        <v>112.63724878772101</v>
      </c>
      <c r="X79" s="23">
        <v>1.34734053520507E-8</v>
      </c>
      <c r="Y79">
        <v>116.63724878772101</v>
      </c>
      <c r="AA79" t="str">
        <f t="shared" si="2"/>
        <v xml:space="preserve"> </v>
      </c>
      <c r="AC79">
        <f t="shared" si="3"/>
        <v>0.15984326028687201</v>
      </c>
    </row>
    <row r="80" spans="1:29" x14ac:dyDescent="0.2">
      <c r="A80" t="s">
        <v>2</v>
      </c>
      <c r="B80" t="s">
        <v>211</v>
      </c>
      <c r="C80">
        <v>9.4529893647887899</v>
      </c>
      <c r="D80">
        <v>53.334998332679199</v>
      </c>
      <c r="E80">
        <v>0.86372663941656103</v>
      </c>
      <c r="F80">
        <v>113.22277082663599</v>
      </c>
      <c r="G80">
        <v>117.22277082663599</v>
      </c>
      <c r="I80" t="s">
        <v>2</v>
      </c>
      <c r="J80" t="s">
        <v>211</v>
      </c>
      <c r="K80">
        <v>9.4529893647887899</v>
      </c>
      <c r="L80">
        <v>53.334998332679199</v>
      </c>
      <c r="M80">
        <v>0.86372663941656103</v>
      </c>
      <c r="N80">
        <v>115.22277082663599</v>
      </c>
      <c r="O80">
        <v>1</v>
      </c>
      <c r="P80">
        <v>119.22277082663599</v>
      </c>
      <c r="R80" t="s">
        <v>2</v>
      </c>
      <c r="S80" t="s">
        <v>211</v>
      </c>
      <c r="T80">
        <v>9.4529890701438699</v>
      </c>
      <c r="U80">
        <v>53.334999947038597</v>
      </c>
      <c r="V80">
        <v>0.86372664769096197</v>
      </c>
      <c r="W80">
        <v>115.222771025063</v>
      </c>
      <c r="X80" s="23">
        <v>8.8541869091370795E-9</v>
      </c>
      <c r="Y80">
        <v>119.222771025063</v>
      </c>
      <c r="AA80" t="str">
        <f t="shared" si="2"/>
        <v xml:space="preserve"> </v>
      </c>
      <c r="AC80">
        <f t="shared" si="3"/>
        <v>0.86372663941656103</v>
      </c>
    </row>
    <row r="81" spans="1:29" x14ac:dyDescent="0.2">
      <c r="A81" t="s">
        <v>2</v>
      </c>
      <c r="B81" t="s">
        <v>212</v>
      </c>
      <c r="C81">
        <v>-16.152964513006999</v>
      </c>
      <c r="D81">
        <v>131.48369284612099</v>
      </c>
      <c r="E81">
        <v>0.90525495357056895</v>
      </c>
      <c r="F81">
        <v>113.243112747539</v>
      </c>
      <c r="G81">
        <v>117.243112747539</v>
      </c>
      <c r="I81" t="s">
        <v>2</v>
      </c>
      <c r="J81" t="s">
        <v>212</v>
      </c>
      <c r="K81">
        <v>-16.152964513006999</v>
      </c>
      <c r="L81">
        <v>131.48369284612099</v>
      </c>
      <c r="M81">
        <v>0.90525495357056895</v>
      </c>
      <c r="N81">
        <v>115.243112747539</v>
      </c>
      <c r="O81">
        <v>1</v>
      </c>
      <c r="P81">
        <v>119.243112747539</v>
      </c>
      <c r="R81" t="s">
        <v>2</v>
      </c>
      <c r="S81" t="s">
        <v>212</v>
      </c>
      <c r="T81">
        <v>-16.152965372208701</v>
      </c>
      <c r="U81">
        <v>131.48369787985001</v>
      </c>
      <c r="V81">
        <v>0.90525495216612195</v>
      </c>
      <c r="W81">
        <v>115.243113122306</v>
      </c>
      <c r="X81" s="23">
        <v>1.7327541062268599E-8</v>
      </c>
      <c r="Y81">
        <v>119.243113122306</v>
      </c>
      <c r="AA81" t="str">
        <f t="shared" si="2"/>
        <v xml:space="preserve"> </v>
      </c>
      <c r="AC81">
        <f t="shared" si="3"/>
        <v>0.90525495216612195</v>
      </c>
    </row>
    <row r="82" spans="1:29" x14ac:dyDescent="0.2">
      <c r="A82" t="s">
        <v>2</v>
      </c>
      <c r="B82" t="s">
        <v>213</v>
      </c>
      <c r="C82">
        <v>38.315667756448001</v>
      </c>
      <c r="D82">
        <v>116.27805429086401</v>
      </c>
      <c r="E82">
        <v>0.75022639628606902</v>
      </c>
      <c r="F82">
        <v>113.127146095005</v>
      </c>
      <c r="G82">
        <v>117.127146095005</v>
      </c>
      <c r="I82" t="s">
        <v>2</v>
      </c>
      <c r="J82" t="s">
        <v>213</v>
      </c>
      <c r="K82">
        <v>38.315667756448001</v>
      </c>
      <c r="L82">
        <v>116.27805429086401</v>
      </c>
      <c r="M82">
        <v>0.75022639628606902</v>
      </c>
      <c r="N82">
        <v>115.127146095005</v>
      </c>
      <c r="O82">
        <v>1</v>
      </c>
      <c r="P82">
        <v>119.127146095005</v>
      </c>
      <c r="R82" t="s">
        <v>2</v>
      </c>
      <c r="S82" t="s">
        <v>213</v>
      </c>
      <c r="T82">
        <v>38.315675407578901</v>
      </c>
      <c r="U82">
        <v>116.27806316327001</v>
      </c>
      <c r="V82">
        <v>0.75022636669291698</v>
      </c>
      <c r="W82">
        <v>115.127146676108</v>
      </c>
      <c r="X82" s="23">
        <v>2.8312125990715499E-8</v>
      </c>
      <c r="Y82">
        <v>119.127146676108</v>
      </c>
      <c r="AA82" t="str">
        <f t="shared" si="2"/>
        <v xml:space="preserve"> </v>
      </c>
      <c r="AC82">
        <f t="shared" si="3"/>
        <v>0.75022636669291698</v>
      </c>
    </row>
    <row r="83" spans="1:29" x14ac:dyDescent="0.2">
      <c r="A83" t="s">
        <v>2</v>
      </c>
      <c r="B83" t="s">
        <v>214</v>
      </c>
      <c r="C83">
        <v>-5.20522673014846E-2</v>
      </c>
      <c r="D83">
        <v>0.29467206011118402</v>
      </c>
      <c r="E83">
        <v>0.86417749020469603</v>
      </c>
      <c r="F83">
        <v>113.22303224509599</v>
      </c>
      <c r="G83">
        <v>117.22303224509599</v>
      </c>
      <c r="I83" t="s">
        <v>2</v>
      </c>
      <c r="J83" t="s">
        <v>214</v>
      </c>
      <c r="K83">
        <v>-5.20522673014846E-2</v>
      </c>
      <c r="L83">
        <v>0.29467206011118402</v>
      </c>
      <c r="M83">
        <v>0.86417749020469603</v>
      </c>
      <c r="N83">
        <v>115.22303224509599</v>
      </c>
      <c r="O83">
        <v>1</v>
      </c>
      <c r="P83">
        <v>119.22303224509599</v>
      </c>
      <c r="R83" t="s">
        <v>2</v>
      </c>
      <c r="S83" t="s">
        <v>214</v>
      </c>
      <c r="T83">
        <v>-5.2052268453091702E-2</v>
      </c>
      <c r="U83">
        <v>0.29467207361324399</v>
      </c>
      <c r="V83">
        <v>0.86417749338582694</v>
      </c>
      <c r="W83">
        <v>115.22303260329601</v>
      </c>
      <c r="X83" s="23">
        <v>1.6489940446067401E-8</v>
      </c>
      <c r="Y83">
        <v>119.22303260329601</v>
      </c>
      <c r="AA83" t="str">
        <f t="shared" si="2"/>
        <v xml:space="preserve"> </v>
      </c>
      <c r="AC83">
        <f t="shared" si="3"/>
        <v>0.86417749020469603</v>
      </c>
    </row>
    <row r="84" spans="1:29" x14ac:dyDescent="0.2">
      <c r="A84" t="s">
        <v>2</v>
      </c>
      <c r="B84" t="s">
        <v>215</v>
      </c>
      <c r="C84">
        <v>45.083125953631097</v>
      </c>
      <c r="D84">
        <v>51.746202273231297</v>
      </c>
      <c r="E84">
        <v>0.40900844111835599</v>
      </c>
      <c r="F84">
        <v>112.355500093255</v>
      </c>
      <c r="G84">
        <v>116.355500093255</v>
      </c>
      <c r="I84" t="s">
        <v>2</v>
      </c>
      <c r="J84" t="s">
        <v>215</v>
      </c>
      <c r="K84">
        <v>45.083125953631097</v>
      </c>
      <c r="L84">
        <v>51.746202273231297</v>
      </c>
      <c r="M84">
        <v>0.40900844111835599</v>
      </c>
      <c r="N84">
        <v>114.355500093255</v>
      </c>
      <c r="O84">
        <v>1</v>
      </c>
      <c r="P84">
        <v>118.355500093255</v>
      </c>
      <c r="R84" t="s">
        <v>2</v>
      </c>
      <c r="S84" t="s">
        <v>215</v>
      </c>
      <c r="T84">
        <v>45.083130812645798</v>
      </c>
      <c r="U84">
        <v>51.746203566001</v>
      </c>
      <c r="V84">
        <v>0.40900840401640798</v>
      </c>
      <c r="W84">
        <v>114.355500327768</v>
      </c>
      <c r="X84" s="23">
        <v>1.74290725888907E-8</v>
      </c>
      <c r="Y84">
        <v>118.355500327768</v>
      </c>
      <c r="AA84" t="str">
        <f t="shared" si="2"/>
        <v xml:space="preserve"> </v>
      </c>
      <c r="AC84">
        <f t="shared" si="3"/>
        <v>0.40900840401640798</v>
      </c>
    </row>
    <row r="85" spans="1:29" x14ac:dyDescent="0.2">
      <c r="A85" t="s">
        <v>2</v>
      </c>
      <c r="B85" t="s">
        <v>25</v>
      </c>
      <c r="C85">
        <v>9.66865954662324E-2</v>
      </c>
      <c r="D85">
        <v>0.13505149002474301</v>
      </c>
      <c r="E85">
        <v>0.49440204475376998</v>
      </c>
      <c r="F85">
        <v>112.64096395619799</v>
      </c>
      <c r="G85">
        <v>116.64096395619799</v>
      </c>
      <c r="I85" t="s">
        <v>2</v>
      </c>
      <c r="J85" t="s">
        <v>25</v>
      </c>
      <c r="K85">
        <v>9.66865954662324E-2</v>
      </c>
      <c r="L85">
        <v>0.13505149002474301</v>
      </c>
      <c r="M85">
        <v>0.49440204475376998</v>
      </c>
      <c r="N85">
        <v>114.64096395619799</v>
      </c>
      <c r="O85">
        <v>1</v>
      </c>
      <c r="P85">
        <v>118.64096395619799</v>
      </c>
      <c r="R85" t="s">
        <v>2</v>
      </c>
      <c r="S85" t="s">
        <v>25</v>
      </c>
      <c r="T85">
        <v>9.6686593225342704E-2</v>
      </c>
      <c r="U85">
        <v>0.13505149624259399</v>
      </c>
      <c r="V85">
        <v>0.49440207373538098</v>
      </c>
      <c r="W85">
        <v>114.640964365855</v>
      </c>
      <c r="X85" s="23">
        <v>1.5109368109314801E-8</v>
      </c>
      <c r="Y85">
        <v>118.640964365855</v>
      </c>
      <c r="AA85" t="str">
        <f t="shared" si="2"/>
        <v xml:space="preserve"> </v>
      </c>
      <c r="AC85">
        <f t="shared" si="3"/>
        <v>0.49440204475376998</v>
      </c>
    </row>
    <row r="86" spans="1:29" x14ac:dyDescent="0.2">
      <c r="A86" t="s">
        <v>2</v>
      </c>
      <c r="B86" t="s">
        <v>24</v>
      </c>
      <c r="C86">
        <v>-61.240838296704901</v>
      </c>
      <c r="D86">
        <v>68.020835096434297</v>
      </c>
      <c r="E86">
        <v>0.39424152103280802</v>
      </c>
      <c r="F86">
        <v>112.296838082005</v>
      </c>
      <c r="G86">
        <v>116.296838082005</v>
      </c>
      <c r="I86" t="s">
        <v>2</v>
      </c>
      <c r="J86" t="s">
        <v>24</v>
      </c>
      <c r="K86">
        <v>-61.240838296704901</v>
      </c>
      <c r="L86">
        <v>68.020835096434297</v>
      </c>
      <c r="M86">
        <v>0.39424152103280802</v>
      </c>
      <c r="N86">
        <v>114.296838082005</v>
      </c>
      <c r="O86">
        <v>1</v>
      </c>
      <c r="P86">
        <v>118.296838082005</v>
      </c>
      <c r="R86" t="s">
        <v>2</v>
      </c>
      <c r="S86" t="s">
        <v>24</v>
      </c>
      <c r="T86">
        <v>-61.240843751790798</v>
      </c>
      <c r="U86">
        <v>68.020839650451805</v>
      </c>
      <c r="V86">
        <v>0.39424151105393801</v>
      </c>
      <c r="W86">
        <v>114.2968388514</v>
      </c>
      <c r="X86" s="23">
        <v>3.7299020163054598E-8</v>
      </c>
      <c r="Y86">
        <v>118.2968388514</v>
      </c>
      <c r="AA86" t="str">
        <f t="shared" si="2"/>
        <v xml:space="preserve"> </v>
      </c>
      <c r="AC86">
        <f t="shared" si="3"/>
        <v>0.39424151105393801</v>
      </c>
    </row>
    <row r="87" spans="1:29" x14ac:dyDescent="0.2">
      <c r="A87" t="s">
        <v>2</v>
      </c>
      <c r="B87" t="s">
        <v>23</v>
      </c>
      <c r="C87">
        <v>20.7571221347335</v>
      </c>
      <c r="D87">
        <v>9.9558802792632406</v>
      </c>
      <c r="E87">
        <v>7.0574332949241703E-2</v>
      </c>
      <c r="F87">
        <v>108.922363893317</v>
      </c>
      <c r="G87">
        <v>112.922363893317</v>
      </c>
      <c r="I87" t="s">
        <v>2</v>
      </c>
      <c r="J87" t="s">
        <v>23</v>
      </c>
      <c r="K87">
        <v>20.7571221347335</v>
      </c>
      <c r="L87">
        <v>9.9558802792632406</v>
      </c>
      <c r="M87">
        <v>7.0574332949241703E-2</v>
      </c>
      <c r="N87">
        <v>110.922363893317</v>
      </c>
      <c r="O87">
        <v>1</v>
      </c>
      <c r="P87">
        <v>114.922363893317</v>
      </c>
      <c r="R87" t="s">
        <v>2</v>
      </c>
      <c r="S87" t="s">
        <v>23</v>
      </c>
      <c r="T87">
        <v>20.757122821820101</v>
      </c>
      <c r="U87">
        <v>9.9558810415155694</v>
      </c>
      <c r="V87">
        <v>7.0574342891836297E-2</v>
      </c>
      <c r="W87">
        <v>110.92236487886299</v>
      </c>
      <c r="X87" s="23">
        <v>3.1368199674221498E-8</v>
      </c>
      <c r="Y87">
        <v>114.92236487886299</v>
      </c>
      <c r="AA87" t="str">
        <f t="shared" si="2"/>
        <v xml:space="preserve"> </v>
      </c>
      <c r="AC87">
        <f t="shared" si="3"/>
        <v>7.0574332949241703E-2</v>
      </c>
    </row>
    <row r="88" spans="1:29" x14ac:dyDescent="0.2">
      <c r="A88" t="s">
        <v>2</v>
      </c>
      <c r="B88" t="s">
        <v>220</v>
      </c>
      <c r="C88">
        <v>-4.2115430584038598E-2</v>
      </c>
      <c r="D88">
        <v>5.7072712376837503E-2</v>
      </c>
      <c r="E88">
        <v>0.48164185700756301</v>
      </c>
      <c r="F88">
        <v>112.603457512616</v>
      </c>
      <c r="G88">
        <v>116.603457512616</v>
      </c>
      <c r="I88" t="s">
        <v>2</v>
      </c>
      <c r="J88" t="s">
        <v>220</v>
      </c>
      <c r="K88">
        <v>-4.2115430584038598E-2</v>
      </c>
      <c r="L88">
        <v>5.7072712376837503E-2</v>
      </c>
      <c r="M88">
        <v>0.48164185700756301</v>
      </c>
      <c r="N88">
        <v>114.603457512616</v>
      </c>
      <c r="O88">
        <v>1</v>
      </c>
      <c r="P88">
        <v>118.603457512616</v>
      </c>
      <c r="R88" t="s">
        <v>2</v>
      </c>
      <c r="S88" t="s">
        <v>220</v>
      </c>
      <c r="T88">
        <v>-4.2115431989310802E-2</v>
      </c>
      <c r="U88">
        <v>5.7072713307775302E-2</v>
      </c>
      <c r="V88">
        <v>0.48164184976998797</v>
      </c>
      <c r="W88">
        <v>114.60345767309801</v>
      </c>
      <c r="X88" s="23">
        <v>8.4804907825240193E-9</v>
      </c>
      <c r="Y88">
        <v>118.60345767309801</v>
      </c>
      <c r="AA88" t="str">
        <f t="shared" si="2"/>
        <v xml:space="preserve"> </v>
      </c>
      <c r="AC88">
        <f t="shared" si="3"/>
        <v>0.48164184976998797</v>
      </c>
    </row>
    <row r="89" spans="1:29" x14ac:dyDescent="0.2">
      <c r="A89" t="s">
        <v>19</v>
      </c>
      <c r="B89" t="s">
        <v>20</v>
      </c>
      <c r="C89">
        <v>3.9558493137884697E-2</v>
      </c>
      <c r="D89">
        <v>0.15257541469146499</v>
      </c>
      <c r="E89">
        <v>0.80197253001514002</v>
      </c>
      <c r="F89">
        <v>-16.442084786091801</v>
      </c>
      <c r="G89">
        <v>-12.442084786091799</v>
      </c>
      <c r="I89" t="s">
        <v>19</v>
      </c>
      <c r="J89" t="s">
        <v>20</v>
      </c>
      <c r="K89">
        <v>5.9631696237854498E-2</v>
      </c>
      <c r="L89">
        <v>0.101179299485393</v>
      </c>
      <c r="M89">
        <v>0.57187926140858802</v>
      </c>
      <c r="N89">
        <v>-17.037664216700399</v>
      </c>
      <c r="O89" s="23">
        <v>9.9999999999999903E-8</v>
      </c>
      <c r="P89">
        <v>-13.037664216700399</v>
      </c>
      <c r="R89" t="s">
        <v>19</v>
      </c>
      <c r="S89" t="s">
        <v>20</v>
      </c>
      <c r="T89">
        <v>4.82418359749026E-2</v>
      </c>
      <c r="U89">
        <v>0.107696271975864</v>
      </c>
      <c r="V89">
        <v>0.66607611597169303</v>
      </c>
      <c r="W89">
        <v>-17.1598759242694</v>
      </c>
      <c r="X89">
        <v>0.36005624924157797</v>
      </c>
      <c r="Y89">
        <v>-13.1598759242694</v>
      </c>
      <c r="AA89" t="str">
        <f t="shared" si="2"/>
        <v xml:space="preserve"> </v>
      </c>
      <c r="AC89">
        <f t="shared" si="3"/>
        <v>0.57187926140858802</v>
      </c>
    </row>
    <row r="90" spans="1:29" x14ac:dyDescent="0.2">
      <c r="A90" t="s">
        <v>19</v>
      </c>
      <c r="B90" t="s">
        <v>21</v>
      </c>
      <c r="C90">
        <v>-5.1165642635031495E-4</v>
      </c>
      <c r="D90">
        <v>4.1514870784982298E-4</v>
      </c>
      <c r="E90">
        <v>0.25276497633946099</v>
      </c>
      <c r="F90">
        <v>-18.096860697773199</v>
      </c>
      <c r="G90">
        <v>-14.0968606977732</v>
      </c>
      <c r="I90" t="s">
        <v>19</v>
      </c>
      <c r="J90" t="s">
        <v>21</v>
      </c>
      <c r="K90">
        <v>2.6689762345807899E-4</v>
      </c>
      <c r="L90">
        <v>3.9446634947014499E-4</v>
      </c>
      <c r="M90">
        <v>0.51773787240635805</v>
      </c>
      <c r="N90">
        <v>-17.169102529359201</v>
      </c>
      <c r="O90" s="23">
        <v>9.9999999999999903E-8</v>
      </c>
      <c r="P90">
        <v>-13.169102529359201</v>
      </c>
      <c r="R90" t="s">
        <v>19</v>
      </c>
      <c r="S90" t="s">
        <v>21</v>
      </c>
      <c r="T90">
        <v>2.6689454941980799E-4</v>
      </c>
      <c r="U90">
        <v>3.9446666694506097E-4</v>
      </c>
      <c r="V90">
        <v>0.51774289219404401</v>
      </c>
      <c r="W90">
        <v>-17.169066981593598</v>
      </c>
      <c r="X90">
        <v>4.23336542499095</v>
      </c>
      <c r="Y90">
        <v>-13.1690669815936</v>
      </c>
      <c r="AA90" t="str">
        <f t="shared" si="2"/>
        <v xml:space="preserve"> </v>
      </c>
      <c r="AC90">
        <f t="shared" si="3"/>
        <v>0.25276497633946099</v>
      </c>
    </row>
    <row r="91" spans="1:29" x14ac:dyDescent="0.2">
      <c r="A91" t="s">
        <v>19</v>
      </c>
      <c r="B91" t="s">
        <v>198</v>
      </c>
      <c r="C91">
        <v>-1.9465868124480101E-2</v>
      </c>
      <c r="D91">
        <v>2.8589157537704898E-2</v>
      </c>
      <c r="E91">
        <v>0.51516580231334796</v>
      </c>
      <c r="F91">
        <v>-16.921741069430599</v>
      </c>
      <c r="G91">
        <v>-12.921741069430601</v>
      </c>
      <c r="I91" t="s">
        <v>19</v>
      </c>
      <c r="J91" t="s">
        <v>198</v>
      </c>
      <c r="K91">
        <v>1.34602549444418E-2</v>
      </c>
      <c r="L91">
        <v>1.8714548742982E-2</v>
      </c>
      <c r="M91">
        <v>0.49246501379708402</v>
      </c>
      <c r="N91">
        <v>-17.2392208595673</v>
      </c>
      <c r="O91" s="23">
        <v>9.9999999999999903E-8</v>
      </c>
      <c r="P91">
        <v>-13.2392208595673</v>
      </c>
      <c r="R91" t="s">
        <v>19</v>
      </c>
      <c r="S91" t="s">
        <v>198</v>
      </c>
      <c r="T91">
        <v>1.34601909907288E-2</v>
      </c>
      <c r="U91">
        <v>1.8714584453561299E-2</v>
      </c>
      <c r="V91">
        <v>0.49246780802288698</v>
      </c>
      <c r="W91">
        <v>-17.239190561914501</v>
      </c>
      <c r="X91">
        <v>4.23336542499095</v>
      </c>
      <c r="Y91">
        <v>-13.2391905619145</v>
      </c>
      <c r="AA91" t="str">
        <f t="shared" si="2"/>
        <v xml:space="preserve"> </v>
      </c>
      <c r="AC91">
        <f t="shared" si="3"/>
        <v>0.49246501379708402</v>
      </c>
    </row>
    <row r="92" spans="1:29" x14ac:dyDescent="0.2">
      <c r="A92" t="s">
        <v>19</v>
      </c>
      <c r="B92" t="s">
        <v>199</v>
      </c>
      <c r="C92">
        <v>-1.9998840827945901E-3</v>
      </c>
      <c r="D92">
        <v>1.92245901990157E-3</v>
      </c>
      <c r="E92">
        <v>0.32862816722199401</v>
      </c>
      <c r="F92">
        <v>-17.627124581333501</v>
      </c>
      <c r="G92">
        <v>-13.627124581333501</v>
      </c>
      <c r="I92" t="s">
        <v>19</v>
      </c>
      <c r="J92" t="s">
        <v>199</v>
      </c>
      <c r="K92">
        <v>-3.22459841397313E-3</v>
      </c>
      <c r="L92">
        <v>1.5867569796291E-3</v>
      </c>
      <c r="M92">
        <v>7.6596037054605506E-2</v>
      </c>
      <c r="N92">
        <v>-20.774882912646699</v>
      </c>
      <c r="O92" s="23">
        <v>9.9999999999999903E-8</v>
      </c>
      <c r="P92">
        <v>-16.774882912646699</v>
      </c>
      <c r="R92" t="s">
        <v>19</v>
      </c>
      <c r="S92" t="s">
        <v>199</v>
      </c>
      <c r="T92">
        <v>-3.22461556307241E-3</v>
      </c>
      <c r="U92">
        <v>1.5867604672632799E-3</v>
      </c>
      <c r="V92">
        <v>7.6595283498033406E-2</v>
      </c>
      <c r="W92">
        <v>-20.774881951199301</v>
      </c>
      <c r="X92">
        <v>4.23336542499095</v>
      </c>
      <c r="Y92">
        <v>-16.774881951199301</v>
      </c>
      <c r="AA92" t="str">
        <f t="shared" si="2"/>
        <v xml:space="preserve">P &amp; OU </v>
      </c>
      <c r="AC92">
        <f t="shared" si="3"/>
        <v>7.6595283498033406E-2</v>
      </c>
    </row>
    <row r="93" spans="1:29" x14ac:dyDescent="0.2">
      <c r="A93" t="s">
        <v>19</v>
      </c>
      <c r="B93" t="s">
        <v>200</v>
      </c>
      <c r="C93">
        <v>-4.4637219481005698E-3</v>
      </c>
      <c r="D93">
        <v>2.9450181396461698E-3</v>
      </c>
      <c r="E93">
        <v>0.16806717411348501</v>
      </c>
      <c r="F93">
        <v>-18.8828135074457</v>
      </c>
      <c r="G93">
        <v>-14.8828135074457</v>
      </c>
      <c r="I93" t="s">
        <v>19</v>
      </c>
      <c r="J93" t="s">
        <v>200</v>
      </c>
      <c r="K93">
        <v>1.10561041050618E-3</v>
      </c>
      <c r="L93">
        <v>1.82602604240039E-3</v>
      </c>
      <c r="M93">
        <v>0.56164367428766304</v>
      </c>
      <c r="N93">
        <v>-17.0606931700936</v>
      </c>
      <c r="O93" s="23">
        <v>9.9999999999999903E-8</v>
      </c>
      <c r="P93">
        <v>-13.0606931700936</v>
      </c>
      <c r="R93" t="s">
        <v>19</v>
      </c>
      <c r="S93" t="s">
        <v>200</v>
      </c>
      <c r="T93">
        <v>-4.4637208961618097E-3</v>
      </c>
      <c r="U93">
        <v>2.94501812076765E-3</v>
      </c>
      <c r="V93">
        <v>0.168067260406951</v>
      </c>
      <c r="W93">
        <v>-16.882813377306501</v>
      </c>
      <c r="X93" s="23">
        <v>4.1192766309784601E-8</v>
      </c>
      <c r="Y93">
        <v>-12.882813377306499</v>
      </c>
      <c r="AA93" t="str">
        <f t="shared" si="2"/>
        <v xml:space="preserve"> </v>
      </c>
      <c r="AC93">
        <f t="shared" si="3"/>
        <v>0.16806717411348501</v>
      </c>
    </row>
    <row r="94" spans="1:29" x14ac:dyDescent="0.2">
      <c r="A94" t="s">
        <v>19</v>
      </c>
      <c r="B94" t="s">
        <v>201</v>
      </c>
      <c r="C94">
        <v>-1.7816344793506001E-4</v>
      </c>
      <c r="D94">
        <v>4.29605007445518E-4</v>
      </c>
      <c r="E94">
        <v>0.68924865047709805</v>
      </c>
      <c r="F94">
        <v>-16.571115419865801</v>
      </c>
      <c r="G94">
        <v>-12.5711154198658</v>
      </c>
      <c r="I94" t="s">
        <v>19</v>
      </c>
      <c r="J94" t="s">
        <v>201</v>
      </c>
      <c r="K94" s="23">
        <v>-7.5238828312451696E-5</v>
      </c>
      <c r="L94">
        <v>4.5431374608046301E-4</v>
      </c>
      <c r="M94">
        <v>0.87257262749074005</v>
      </c>
      <c r="N94">
        <v>-16.6468595110602</v>
      </c>
      <c r="O94" s="23">
        <v>9.9999999999999903E-8</v>
      </c>
      <c r="P94">
        <v>-12.6468595110602</v>
      </c>
      <c r="R94" t="s">
        <v>19</v>
      </c>
      <c r="S94" t="s">
        <v>201</v>
      </c>
      <c r="T94">
        <v>-1.01494663323792E-4</v>
      </c>
      <c r="U94">
        <v>4.4060675981007902E-4</v>
      </c>
      <c r="V94">
        <v>0.82359946361493797</v>
      </c>
      <c r="W94">
        <v>-17.007834345278201</v>
      </c>
      <c r="X94">
        <v>0.29208579581650801</v>
      </c>
      <c r="Y94">
        <v>-13.0078343452782</v>
      </c>
      <c r="AA94" t="str">
        <f t="shared" si="2"/>
        <v xml:space="preserve"> </v>
      </c>
      <c r="AC94">
        <f t="shared" si="3"/>
        <v>0.68924865047709805</v>
      </c>
    </row>
    <row r="95" spans="1:29" x14ac:dyDescent="0.2">
      <c r="A95" t="s">
        <v>19</v>
      </c>
      <c r="B95" t="s">
        <v>202</v>
      </c>
      <c r="C95">
        <v>-2.8072077865668201E-2</v>
      </c>
      <c r="D95">
        <v>2.1044153325896799E-2</v>
      </c>
      <c r="E95">
        <v>0.21894169646356501</v>
      </c>
      <c r="F95">
        <v>-18.3668273331634</v>
      </c>
      <c r="G95">
        <v>-14.3668273331634</v>
      </c>
      <c r="I95" t="s">
        <v>19</v>
      </c>
      <c r="J95" t="s">
        <v>202</v>
      </c>
      <c r="K95">
        <v>7.3472612538869097E-3</v>
      </c>
      <c r="L95">
        <v>1.1780027113097001E-2</v>
      </c>
      <c r="M95">
        <v>0.55018697936226402</v>
      </c>
      <c r="N95">
        <v>-17.087442069854902</v>
      </c>
      <c r="O95" s="23">
        <v>9.9999999999999903E-8</v>
      </c>
      <c r="P95">
        <v>-13.0874420698549</v>
      </c>
      <c r="R95" t="s">
        <v>19</v>
      </c>
      <c r="S95" t="s">
        <v>202</v>
      </c>
      <c r="T95">
        <v>7.3472711745234398E-3</v>
      </c>
      <c r="U95">
        <v>1.17800710690312E-2</v>
      </c>
      <c r="V95">
        <v>0.55018790699059705</v>
      </c>
      <c r="W95">
        <v>-17.087417653228002</v>
      </c>
      <c r="X95">
        <v>4.23336542499095</v>
      </c>
      <c r="Y95">
        <v>-13.087417653228</v>
      </c>
      <c r="AA95" t="str">
        <f t="shared" si="2"/>
        <v xml:space="preserve"> </v>
      </c>
      <c r="AC95">
        <f t="shared" si="3"/>
        <v>0.21894169646356501</v>
      </c>
    </row>
    <row r="96" spans="1:29" x14ac:dyDescent="0.2">
      <c r="A96" t="s">
        <v>19</v>
      </c>
      <c r="B96" t="s">
        <v>203</v>
      </c>
      <c r="C96" s="23">
        <v>-4.8836938403084403E-5</v>
      </c>
      <c r="D96" s="23">
        <v>4.9173543576885298E-5</v>
      </c>
      <c r="E96">
        <v>0.34972023886550901</v>
      </c>
      <c r="F96">
        <v>-17.521067809247398</v>
      </c>
      <c r="G96">
        <v>-13.5210678092474</v>
      </c>
      <c r="I96" t="s">
        <v>19</v>
      </c>
      <c r="J96" t="s">
        <v>203</v>
      </c>
      <c r="K96" s="23">
        <v>-7.4024281538161296E-5</v>
      </c>
      <c r="L96" s="23">
        <v>3.5231759018652002E-5</v>
      </c>
      <c r="M96">
        <v>6.8823212127600897E-2</v>
      </c>
      <c r="N96">
        <v>-21.006856379235899</v>
      </c>
      <c r="O96" s="23">
        <v>9.9999999999999903E-8</v>
      </c>
      <c r="P96">
        <v>-17.006856379235899</v>
      </c>
      <c r="R96" t="s">
        <v>19</v>
      </c>
      <c r="S96" t="s">
        <v>203</v>
      </c>
      <c r="T96" s="23">
        <v>-7.4363801102368503E-5</v>
      </c>
      <c r="U96" s="23">
        <v>3.5299581804099102E-5</v>
      </c>
      <c r="V96">
        <v>6.8228203303201701E-2</v>
      </c>
      <c r="W96">
        <v>-21.008109667248199</v>
      </c>
      <c r="X96">
        <v>1.47397028276765</v>
      </c>
      <c r="Y96">
        <v>-17.008109667248199</v>
      </c>
      <c r="AA96" t="str">
        <f t="shared" si="2"/>
        <v xml:space="preserve">P &amp; OU </v>
      </c>
      <c r="AC96">
        <f t="shared" si="3"/>
        <v>6.8228203303201701E-2</v>
      </c>
    </row>
    <row r="97" spans="1:29" x14ac:dyDescent="0.2">
      <c r="A97" t="s">
        <v>19</v>
      </c>
      <c r="B97" t="s">
        <v>204</v>
      </c>
      <c r="C97">
        <v>-6.2564093062696294E-2</v>
      </c>
      <c r="D97">
        <v>5.4571078399452501E-2</v>
      </c>
      <c r="E97">
        <v>0.284732647893708</v>
      </c>
      <c r="F97">
        <v>-17.879601512088598</v>
      </c>
      <c r="G97">
        <v>-13.8796015120886</v>
      </c>
      <c r="I97" t="s">
        <v>19</v>
      </c>
      <c r="J97" t="s">
        <v>204</v>
      </c>
      <c r="K97">
        <v>4.0269150054177902E-2</v>
      </c>
      <c r="L97">
        <v>6.5393829121666705E-2</v>
      </c>
      <c r="M97">
        <v>0.55514109055045502</v>
      </c>
      <c r="N97">
        <v>-17.075747087809798</v>
      </c>
      <c r="O97" s="23">
        <v>9.9999999999999903E-8</v>
      </c>
      <c r="P97">
        <v>-13.0757470878098</v>
      </c>
      <c r="R97" t="s">
        <v>19</v>
      </c>
      <c r="S97" t="s">
        <v>204</v>
      </c>
      <c r="T97">
        <v>-7.6776061544765496E-3</v>
      </c>
      <c r="U97">
        <v>6.5288883120314695E-2</v>
      </c>
      <c r="V97">
        <v>0.90928787201815797</v>
      </c>
      <c r="W97">
        <v>-16.946413603532001</v>
      </c>
      <c r="X97">
        <v>0.26805587635356298</v>
      </c>
      <c r="Y97">
        <v>-12.946413603531999</v>
      </c>
      <c r="AA97" t="str">
        <f t="shared" si="2"/>
        <v xml:space="preserve"> </v>
      </c>
      <c r="AC97">
        <f t="shared" si="3"/>
        <v>0.284732647893708</v>
      </c>
    </row>
    <row r="98" spans="1:29" x14ac:dyDescent="0.2">
      <c r="A98" t="s">
        <v>19</v>
      </c>
      <c r="B98" t="s">
        <v>206</v>
      </c>
      <c r="C98">
        <v>-1.1202648441378501E-2</v>
      </c>
      <c r="D98">
        <v>5.8009125965753899E-3</v>
      </c>
      <c r="E98">
        <v>8.9556424469576804E-2</v>
      </c>
      <c r="F98">
        <v>-20.1850500230573</v>
      </c>
      <c r="G98">
        <v>-16.1850500230573</v>
      </c>
      <c r="I98" t="s">
        <v>19</v>
      </c>
      <c r="J98" t="s">
        <v>206</v>
      </c>
      <c r="K98">
        <v>-1.3649928880313199E-2</v>
      </c>
      <c r="L98">
        <v>4.28280941142323E-3</v>
      </c>
      <c r="M98">
        <v>1.2858516324217801E-2</v>
      </c>
      <c r="N98">
        <v>-24.809268323023701</v>
      </c>
      <c r="O98" s="23">
        <v>9.9999999999999903E-8</v>
      </c>
      <c r="P98">
        <v>-20.809268323023701</v>
      </c>
      <c r="R98" t="s">
        <v>19</v>
      </c>
      <c r="S98" t="s">
        <v>206</v>
      </c>
      <c r="T98">
        <v>-1.3649976280853E-2</v>
      </c>
      <c r="U98">
        <v>4.2828201612626201E-3</v>
      </c>
      <c r="V98">
        <v>1.2858456983296299E-2</v>
      </c>
      <c r="W98">
        <v>-24.809256884506901</v>
      </c>
      <c r="X98">
        <v>4.23336542499095</v>
      </c>
      <c r="Y98">
        <v>-20.809256884506901</v>
      </c>
      <c r="AA98" t="str">
        <f t="shared" si="2"/>
        <v xml:space="preserve">P &amp; OU </v>
      </c>
      <c r="AC98">
        <f t="shared" si="3"/>
        <v>1.2858456983296299E-2</v>
      </c>
    </row>
    <row r="99" spans="1:29" x14ac:dyDescent="0.2">
      <c r="A99" t="s">
        <v>19</v>
      </c>
      <c r="B99" t="s">
        <v>205</v>
      </c>
      <c r="C99">
        <v>-0.121601550891722</v>
      </c>
      <c r="D99">
        <v>0.119936069647208</v>
      </c>
      <c r="E99">
        <v>0.34031604708595198</v>
      </c>
      <c r="F99">
        <v>-17.567263680107502</v>
      </c>
      <c r="G99">
        <v>-13.5672636801075</v>
      </c>
      <c r="I99" t="s">
        <v>19</v>
      </c>
      <c r="J99" t="s">
        <v>205</v>
      </c>
      <c r="K99">
        <v>4.0123914193475899E-2</v>
      </c>
      <c r="L99">
        <v>8.7452722179113096E-2</v>
      </c>
      <c r="M99">
        <v>0.65858076679787303</v>
      </c>
      <c r="N99">
        <v>-16.8723622986045</v>
      </c>
      <c r="O99" s="23">
        <v>9.9999999999999903E-8</v>
      </c>
      <c r="P99">
        <v>-12.8723622986045</v>
      </c>
      <c r="R99" t="s">
        <v>19</v>
      </c>
      <c r="S99" t="s">
        <v>205</v>
      </c>
      <c r="T99">
        <v>7.8365968832869708E-3</v>
      </c>
      <c r="U99">
        <v>0.100742483054031</v>
      </c>
      <c r="V99">
        <v>0.93990677352326202</v>
      </c>
      <c r="W99">
        <v>-16.945926481069801</v>
      </c>
      <c r="X99">
        <v>0.32076616420769299</v>
      </c>
      <c r="Y99">
        <v>-12.945926481069799</v>
      </c>
      <c r="AA99" t="str">
        <f t="shared" si="2"/>
        <v xml:space="preserve"> </v>
      </c>
      <c r="AC99">
        <f t="shared" si="3"/>
        <v>0.34031604708595198</v>
      </c>
    </row>
    <row r="100" spans="1:29" x14ac:dyDescent="0.2">
      <c r="A100" t="s">
        <v>19</v>
      </c>
      <c r="B100" t="s">
        <v>207</v>
      </c>
      <c r="C100">
        <v>9.35946606652681E-4</v>
      </c>
      <c r="D100">
        <v>4.02568011636596E-4</v>
      </c>
      <c r="E100">
        <v>4.8543601782868297E-2</v>
      </c>
      <c r="F100">
        <v>-21.5205301205852</v>
      </c>
      <c r="G100">
        <v>-17.5205301205852</v>
      </c>
      <c r="I100" t="s">
        <v>19</v>
      </c>
      <c r="J100" t="s">
        <v>207</v>
      </c>
      <c r="K100">
        <v>9.5849656489732996E-4</v>
      </c>
      <c r="L100">
        <v>4.9124077312403603E-4</v>
      </c>
      <c r="M100">
        <v>8.6834432991270902E-2</v>
      </c>
      <c r="N100">
        <v>-20.150305658205301</v>
      </c>
      <c r="O100">
        <v>0.25148702786821397</v>
      </c>
      <c r="P100">
        <v>-16.150305658205301</v>
      </c>
      <c r="R100" t="s">
        <v>19</v>
      </c>
      <c r="S100" t="s">
        <v>207</v>
      </c>
      <c r="T100">
        <v>9.3669356808651798E-4</v>
      </c>
      <c r="U100">
        <v>4.5179239183204599E-4</v>
      </c>
      <c r="V100">
        <v>7.1861501908330502E-2</v>
      </c>
      <c r="W100">
        <v>-21.081554704940199</v>
      </c>
      <c r="X100">
        <v>0.20166733785768501</v>
      </c>
      <c r="Y100">
        <v>-17.081554704940199</v>
      </c>
      <c r="AA100" t="str">
        <f t="shared" si="2"/>
        <v xml:space="preserve"> </v>
      </c>
      <c r="AC100">
        <f t="shared" si="3"/>
        <v>4.8543601782868297E-2</v>
      </c>
    </row>
    <row r="101" spans="1:29" x14ac:dyDescent="0.2">
      <c r="A101" t="s">
        <v>19</v>
      </c>
      <c r="B101" t="s">
        <v>208</v>
      </c>
      <c r="C101">
        <v>3.4963818777259299E-2</v>
      </c>
      <c r="D101">
        <v>3.1591474119086201E-2</v>
      </c>
      <c r="E101">
        <v>0.300568607025401</v>
      </c>
      <c r="F101">
        <v>-17.783048393721501</v>
      </c>
      <c r="G101">
        <v>-13.783048393721501</v>
      </c>
      <c r="I101" t="s">
        <v>19</v>
      </c>
      <c r="J101" t="s">
        <v>208</v>
      </c>
      <c r="K101">
        <v>1.64754206081076E-2</v>
      </c>
      <c r="L101">
        <v>3.5978440042235001E-2</v>
      </c>
      <c r="M101">
        <v>0.65918786570045995</v>
      </c>
      <c r="N101">
        <v>-16.8713773509823</v>
      </c>
      <c r="O101" s="23">
        <v>9.9999999999999903E-8</v>
      </c>
      <c r="P101">
        <v>-12.8713773509823</v>
      </c>
      <c r="R101" t="s">
        <v>19</v>
      </c>
      <c r="S101" t="s">
        <v>208</v>
      </c>
      <c r="T101">
        <v>1.6476081559788101E-2</v>
      </c>
      <c r="U101">
        <v>3.5978665441471498E-2</v>
      </c>
      <c r="V101">
        <v>0.65917719438060796</v>
      </c>
      <c r="W101">
        <v>-16.871372436359501</v>
      </c>
      <c r="X101">
        <v>4.23336542499095</v>
      </c>
      <c r="Y101">
        <v>-12.871372436359501</v>
      </c>
      <c r="AA101" t="str">
        <f t="shared" si="2"/>
        <v xml:space="preserve"> </v>
      </c>
      <c r="AC101">
        <f t="shared" si="3"/>
        <v>0.300568607025401</v>
      </c>
    </row>
    <row r="102" spans="1:29" x14ac:dyDescent="0.2">
      <c r="A102" t="s">
        <v>19</v>
      </c>
      <c r="B102" t="s">
        <v>209</v>
      </c>
      <c r="C102" s="23">
        <v>7.6568179497565197E-5</v>
      </c>
      <c r="D102">
        <v>2.1754138243006499E-4</v>
      </c>
      <c r="E102">
        <v>0.73395183092025895</v>
      </c>
      <c r="F102">
        <v>-16.512075965854599</v>
      </c>
      <c r="G102">
        <v>-12.512075965854599</v>
      </c>
      <c r="I102" t="s">
        <v>19</v>
      </c>
      <c r="J102" t="s">
        <v>209</v>
      </c>
      <c r="K102" s="23">
        <v>9.683875535002049E-7</v>
      </c>
      <c r="L102">
        <v>2.5575470894702702E-4</v>
      </c>
      <c r="M102">
        <v>0.99707161980513803</v>
      </c>
      <c r="N102">
        <v>-16.612652789914801</v>
      </c>
      <c r="O102" s="23">
        <v>9.9999999999999903E-8</v>
      </c>
      <c r="P102">
        <v>-12.612652789914801</v>
      </c>
      <c r="R102" t="s">
        <v>19</v>
      </c>
      <c r="S102" t="s">
        <v>209</v>
      </c>
      <c r="T102" s="23">
        <v>3.6745355359144401E-5</v>
      </c>
      <c r="U102">
        <v>2.4059085068046601E-4</v>
      </c>
      <c r="V102">
        <v>0.88239334056601404</v>
      </c>
      <c r="W102">
        <v>-16.970114532616201</v>
      </c>
      <c r="X102">
        <v>0.28900328915860002</v>
      </c>
      <c r="Y102">
        <v>-12.970114532616201</v>
      </c>
      <c r="AA102" t="str">
        <f t="shared" si="2"/>
        <v xml:space="preserve"> </v>
      </c>
      <c r="AC102">
        <f t="shared" si="3"/>
        <v>0.73395183092025895</v>
      </c>
    </row>
    <row r="103" spans="1:29" x14ac:dyDescent="0.2">
      <c r="A103" t="s">
        <v>19</v>
      </c>
      <c r="B103" t="s">
        <v>210</v>
      </c>
      <c r="C103">
        <v>-5.8555511493655503E-2</v>
      </c>
      <c r="D103">
        <v>4.1732531186841899E-2</v>
      </c>
      <c r="E103">
        <v>0.19818267600379799</v>
      </c>
      <c r="F103">
        <v>-18.558524829244401</v>
      </c>
      <c r="G103">
        <v>-14.5585248292444</v>
      </c>
      <c r="I103" t="s">
        <v>19</v>
      </c>
      <c r="J103" t="s">
        <v>210</v>
      </c>
      <c r="K103">
        <v>-3.9081323165671498E-2</v>
      </c>
      <c r="L103">
        <v>6.3401632907918795E-2</v>
      </c>
      <c r="M103">
        <v>0.554755359554156</v>
      </c>
      <c r="N103">
        <v>-17.076650606039699</v>
      </c>
      <c r="O103" s="23">
        <v>9.9999999999999903E-8</v>
      </c>
      <c r="P103">
        <v>-13.076650606039699</v>
      </c>
      <c r="R103" t="s">
        <v>19</v>
      </c>
      <c r="S103" t="s">
        <v>210</v>
      </c>
      <c r="T103">
        <v>-4.9078035043328902E-2</v>
      </c>
      <c r="U103">
        <v>5.1245189998794002E-2</v>
      </c>
      <c r="V103">
        <v>0.366252739195568</v>
      </c>
      <c r="W103">
        <v>-17.9267265215679</v>
      </c>
      <c r="X103">
        <v>0.219537188308117</v>
      </c>
      <c r="Y103">
        <v>-13.9267265215679</v>
      </c>
      <c r="AA103" t="str">
        <f t="shared" si="2"/>
        <v xml:space="preserve"> </v>
      </c>
      <c r="AC103">
        <f t="shared" si="3"/>
        <v>0.19818267600379799</v>
      </c>
    </row>
    <row r="104" spans="1:29" x14ac:dyDescent="0.2">
      <c r="A104" t="s">
        <v>19</v>
      </c>
      <c r="B104" t="s">
        <v>4</v>
      </c>
      <c r="C104">
        <v>-4.9927020689119798E-2</v>
      </c>
      <c r="D104">
        <v>4.2318540433190298E-2</v>
      </c>
      <c r="E104">
        <v>0.27197461117105998</v>
      </c>
      <c r="F104">
        <v>-17.962475801823299</v>
      </c>
      <c r="G104">
        <v>-13.962475801823301</v>
      </c>
      <c r="I104" t="s">
        <v>19</v>
      </c>
      <c r="J104" t="s">
        <v>4</v>
      </c>
      <c r="K104">
        <v>-7.6925365087009201E-2</v>
      </c>
      <c r="L104">
        <v>4.3864633416987701E-2</v>
      </c>
      <c r="M104">
        <v>0.117569175254629</v>
      </c>
      <c r="N104">
        <v>-19.865538213516601</v>
      </c>
      <c r="O104" s="23">
        <v>9.9999999999999903E-8</v>
      </c>
      <c r="P104">
        <v>-15.865538213516601</v>
      </c>
      <c r="R104" t="s">
        <v>19</v>
      </c>
      <c r="S104" t="s">
        <v>4</v>
      </c>
      <c r="T104">
        <v>-7.6925429709155904E-2</v>
      </c>
      <c r="U104">
        <v>4.3864727054751099E-2</v>
      </c>
      <c r="V104">
        <v>0.117569581494296</v>
      </c>
      <c r="W104">
        <v>-19.865508815275401</v>
      </c>
      <c r="X104">
        <v>4.23336542499095</v>
      </c>
      <c r="Y104">
        <v>-15.865508815275399</v>
      </c>
      <c r="AA104" t="str">
        <f t="shared" si="2"/>
        <v xml:space="preserve"> </v>
      </c>
      <c r="AC104">
        <f t="shared" si="3"/>
        <v>0.117569175254629</v>
      </c>
    </row>
    <row r="105" spans="1:29" x14ac:dyDescent="0.2">
      <c r="A105" t="s">
        <v>19</v>
      </c>
      <c r="B105" t="s">
        <v>3</v>
      </c>
      <c r="C105">
        <v>0.478913814899808</v>
      </c>
      <c r="D105">
        <v>0.44519857932918699</v>
      </c>
      <c r="E105">
        <v>0.31341660097270402</v>
      </c>
      <c r="F105">
        <v>-17.7093940987214</v>
      </c>
      <c r="G105">
        <v>-13.7093940987214</v>
      </c>
      <c r="I105" t="s">
        <v>19</v>
      </c>
      <c r="J105" t="s">
        <v>3</v>
      </c>
      <c r="K105">
        <v>0.72898698008141605</v>
      </c>
      <c r="L105">
        <v>0.43051427097092998</v>
      </c>
      <c r="M105">
        <v>0.12885372919261501</v>
      </c>
      <c r="N105">
        <v>-19.6757494251924</v>
      </c>
      <c r="O105" s="23">
        <v>9.9999999999999903E-8</v>
      </c>
      <c r="P105">
        <v>-15.6757494251924</v>
      </c>
      <c r="R105" t="s">
        <v>19</v>
      </c>
      <c r="S105" t="s">
        <v>3</v>
      </c>
      <c r="T105">
        <v>0.72898815856642296</v>
      </c>
      <c r="U105">
        <v>0.43051519845571001</v>
      </c>
      <c r="V105">
        <v>0.128853906648185</v>
      </c>
      <c r="W105">
        <v>-19.675724379217499</v>
      </c>
      <c r="X105">
        <v>4.23336542499095</v>
      </c>
      <c r="Y105">
        <v>-15.675724379217501</v>
      </c>
      <c r="AA105" t="str">
        <f t="shared" si="2"/>
        <v xml:space="preserve"> </v>
      </c>
      <c r="AC105">
        <f t="shared" si="3"/>
        <v>0.12885372919261501</v>
      </c>
    </row>
    <row r="106" spans="1:29" x14ac:dyDescent="0.2">
      <c r="A106" t="s">
        <v>19</v>
      </c>
      <c r="B106" t="s">
        <v>211</v>
      </c>
      <c r="C106">
        <v>-0.14183792073004001</v>
      </c>
      <c r="D106">
        <v>6.4730555233786805E-2</v>
      </c>
      <c r="E106">
        <v>5.9808509440639201E-2</v>
      </c>
      <c r="F106">
        <v>-21.059522645144</v>
      </c>
      <c r="G106">
        <v>-17.059522645144</v>
      </c>
      <c r="I106" t="s">
        <v>19</v>
      </c>
      <c r="J106" t="s">
        <v>211</v>
      </c>
      <c r="K106">
        <v>-0.14183792073004001</v>
      </c>
      <c r="L106">
        <v>6.4730555233786805E-2</v>
      </c>
      <c r="M106">
        <v>5.9808509440639201E-2</v>
      </c>
      <c r="N106">
        <v>-19.059522645144</v>
      </c>
      <c r="O106">
        <v>1</v>
      </c>
      <c r="P106">
        <v>-15.059522645144</v>
      </c>
      <c r="R106" t="s">
        <v>19</v>
      </c>
      <c r="S106" t="s">
        <v>211</v>
      </c>
      <c r="T106">
        <v>-0.146717310337805</v>
      </c>
      <c r="U106">
        <v>8.2309183974943106E-2</v>
      </c>
      <c r="V106">
        <v>0.11251794308295</v>
      </c>
      <c r="W106">
        <v>-19.859881096731598</v>
      </c>
      <c r="X106">
        <v>0.15282529283158899</v>
      </c>
      <c r="Y106">
        <v>-15.8598810967316</v>
      </c>
      <c r="AA106" t="str">
        <f t="shared" si="2"/>
        <v xml:space="preserve"> </v>
      </c>
      <c r="AC106">
        <f t="shared" si="3"/>
        <v>5.9808509440639201E-2</v>
      </c>
    </row>
    <row r="107" spans="1:29" x14ac:dyDescent="0.2">
      <c r="A107" t="s">
        <v>19</v>
      </c>
      <c r="B107" t="s">
        <v>212</v>
      </c>
      <c r="C107">
        <v>-0.21716185525130799</v>
      </c>
      <c r="D107">
        <v>0.186467513696981</v>
      </c>
      <c r="E107">
        <v>0.27772822497431998</v>
      </c>
      <c r="F107">
        <v>-17.924508842794399</v>
      </c>
      <c r="G107">
        <v>-13.924508842794401</v>
      </c>
      <c r="I107" t="s">
        <v>19</v>
      </c>
      <c r="J107" t="s">
        <v>212</v>
      </c>
      <c r="K107">
        <v>-0.398208339005791</v>
      </c>
      <c r="L107">
        <v>0.16993483307583099</v>
      </c>
      <c r="M107">
        <v>4.7172036698474702E-2</v>
      </c>
      <c r="N107">
        <v>-21.8384890159817</v>
      </c>
      <c r="O107" s="23">
        <v>9.9999999999999903E-8</v>
      </c>
      <c r="P107">
        <v>-17.8384890159817</v>
      </c>
      <c r="R107" t="s">
        <v>19</v>
      </c>
      <c r="S107" t="s">
        <v>212</v>
      </c>
      <c r="T107">
        <v>-0.39820769577689702</v>
      </c>
      <c r="U107">
        <v>0.16993532082530599</v>
      </c>
      <c r="V107">
        <v>4.7172810704815299E-2</v>
      </c>
      <c r="W107">
        <v>-21.838430294336298</v>
      </c>
      <c r="X107">
        <v>4.23336542499095</v>
      </c>
      <c r="Y107">
        <v>-17.838430294336298</v>
      </c>
      <c r="AA107" t="str">
        <f t="shared" si="2"/>
        <v xml:space="preserve">P &amp; OU </v>
      </c>
      <c r="AC107">
        <f t="shared" si="3"/>
        <v>4.7172036698474702E-2</v>
      </c>
    </row>
    <row r="108" spans="1:29" x14ac:dyDescent="0.2">
      <c r="A108" t="s">
        <v>19</v>
      </c>
      <c r="B108" t="s">
        <v>213</v>
      </c>
      <c r="C108">
        <v>-0.27498162266883103</v>
      </c>
      <c r="D108">
        <v>0.15073969133287499</v>
      </c>
      <c r="E108">
        <v>0.105568494715432</v>
      </c>
      <c r="F108">
        <v>-19.836557321671702</v>
      </c>
      <c r="G108">
        <v>-15.8365573216717</v>
      </c>
      <c r="I108" t="s">
        <v>19</v>
      </c>
      <c r="J108" t="s">
        <v>213</v>
      </c>
      <c r="K108">
        <v>-0.27498162266883103</v>
      </c>
      <c r="L108">
        <v>0.15073969133287499</v>
      </c>
      <c r="M108">
        <v>0.105568494715432</v>
      </c>
      <c r="N108">
        <v>-17.836557321671702</v>
      </c>
      <c r="O108">
        <v>1</v>
      </c>
      <c r="P108">
        <v>-13.8365573216717</v>
      </c>
      <c r="R108" t="s">
        <v>19</v>
      </c>
      <c r="S108" t="s">
        <v>213</v>
      </c>
      <c r="T108">
        <v>-0.238062609856798</v>
      </c>
      <c r="U108">
        <v>0.16774707108498499</v>
      </c>
      <c r="V108">
        <v>0.19361391741764</v>
      </c>
      <c r="W108">
        <v>-18.3078822693154</v>
      </c>
      <c r="X108">
        <v>0.103672539226558</v>
      </c>
      <c r="Y108">
        <v>-14.3078822693154</v>
      </c>
      <c r="AA108" t="str">
        <f t="shared" si="2"/>
        <v xml:space="preserve"> </v>
      </c>
      <c r="AC108">
        <f t="shared" si="3"/>
        <v>0.105568494715432</v>
      </c>
    </row>
    <row r="109" spans="1:29" x14ac:dyDescent="0.2">
      <c r="A109" t="s">
        <v>19</v>
      </c>
      <c r="B109" t="s">
        <v>214</v>
      </c>
      <c r="C109">
        <v>-7.8547643080693495E-4</v>
      </c>
      <c r="D109">
        <v>3.5712147152830502E-4</v>
      </c>
      <c r="E109">
        <v>5.9043080343382001E-2</v>
      </c>
      <c r="F109">
        <v>-21.087815275734702</v>
      </c>
      <c r="G109">
        <v>-17.087815275734702</v>
      </c>
      <c r="I109" t="s">
        <v>19</v>
      </c>
      <c r="J109" t="s">
        <v>214</v>
      </c>
      <c r="K109">
        <v>-7.8547643080693495E-4</v>
      </c>
      <c r="L109">
        <v>3.5712147152830502E-4</v>
      </c>
      <c r="M109">
        <v>5.9043080343382001E-2</v>
      </c>
      <c r="N109">
        <v>-19.087815275734702</v>
      </c>
      <c r="O109">
        <v>1</v>
      </c>
      <c r="P109">
        <v>-15.0878152757347</v>
      </c>
      <c r="R109" t="s">
        <v>19</v>
      </c>
      <c r="S109" t="s">
        <v>214</v>
      </c>
      <c r="T109">
        <v>-7.4409940101549297E-4</v>
      </c>
      <c r="U109">
        <v>4.07724452556792E-4</v>
      </c>
      <c r="V109">
        <v>0.105440763780663</v>
      </c>
      <c r="W109">
        <v>-19.796973719557698</v>
      </c>
      <c r="X109">
        <v>0.12841956321150799</v>
      </c>
      <c r="Y109">
        <v>-15.7969737195577</v>
      </c>
      <c r="AA109" t="str">
        <f t="shared" si="2"/>
        <v xml:space="preserve"> </v>
      </c>
      <c r="AC109">
        <f t="shared" si="3"/>
        <v>5.9043080343382001E-2</v>
      </c>
    </row>
    <row r="110" spans="1:29" x14ac:dyDescent="0.2">
      <c r="A110" t="s">
        <v>19</v>
      </c>
      <c r="B110" t="s">
        <v>215</v>
      </c>
      <c r="C110">
        <v>7.0530463699704601E-2</v>
      </c>
      <c r="D110">
        <v>7.9128146710091898E-2</v>
      </c>
      <c r="E110">
        <v>0.39875849106322597</v>
      </c>
      <c r="F110">
        <v>-17.3052533845194</v>
      </c>
      <c r="G110">
        <v>-13.3052533845194</v>
      </c>
      <c r="I110" t="s">
        <v>19</v>
      </c>
      <c r="J110" t="s">
        <v>215</v>
      </c>
      <c r="K110">
        <v>7.2837386069235996E-2</v>
      </c>
      <c r="L110">
        <v>6.3680747310229699E-2</v>
      </c>
      <c r="M110">
        <v>0.28577953295073999</v>
      </c>
      <c r="N110">
        <v>-18.1272358532425</v>
      </c>
      <c r="O110" s="23">
        <v>9.9999999999999903E-8</v>
      </c>
      <c r="P110">
        <v>-14.1272358532425</v>
      </c>
      <c r="R110" t="s">
        <v>19</v>
      </c>
      <c r="S110" t="s">
        <v>215</v>
      </c>
      <c r="T110">
        <v>7.2837735589320801E-2</v>
      </c>
      <c r="U110">
        <v>6.3680870114249805E-2</v>
      </c>
      <c r="V110">
        <v>0.28577824867576901</v>
      </c>
      <c r="W110">
        <v>-18.127221712943001</v>
      </c>
      <c r="X110">
        <v>4.23336542499095</v>
      </c>
      <c r="Y110">
        <v>-14.127221712942999</v>
      </c>
      <c r="AA110" t="str">
        <f t="shared" si="2"/>
        <v xml:space="preserve"> </v>
      </c>
      <c r="AC110">
        <f t="shared" si="3"/>
        <v>0.28577824867576901</v>
      </c>
    </row>
    <row r="111" spans="1:29" x14ac:dyDescent="0.2">
      <c r="A111" t="s">
        <v>19</v>
      </c>
      <c r="B111" t="s">
        <v>25</v>
      </c>
      <c r="C111">
        <v>-3.65898302923883E-4</v>
      </c>
      <c r="D111">
        <v>1.6979212434933399E-4</v>
      </c>
      <c r="E111">
        <v>6.3282613153247402E-2</v>
      </c>
      <c r="F111">
        <v>-20.9357660721248</v>
      </c>
      <c r="G111">
        <v>-16.9357660721248</v>
      </c>
      <c r="I111" t="s">
        <v>19</v>
      </c>
      <c r="J111" t="s">
        <v>25</v>
      </c>
      <c r="K111">
        <v>-5.2001496271665603E-4</v>
      </c>
      <c r="L111">
        <v>2.1127983989168301E-4</v>
      </c>
      <c r="M111">
        <v>3.9241484302915901E-2</v>
      </c>
      <c r="N111">
        <v>-22.249999732218001</v>
      </c>
      <c r="O111" s="23">
        <v>9.9999999999999903E-8</v>
      </c>
      <c r="P111">
        <v>-18.249999732218001</v>
      </c>
      <c r="R111" t="s">
        <v>19</v>
      </c>
      <c r="S111" t="s">
        <v>25</v>
      </c>
      <c r="T111">
        <v>-4.9968008193503695E-4</v>
      </c>
      <c r="U111">
        <v>2.0392366284612901E-4</v>
      </c>
      <c r="V111">
        <v>3.9916237969978501E-2</v>
      </c>
      <c r="W111">
        <v>-22.267914866882698</v>
      </c>
      <c r="X111">
        <v>0.60375173213098698</v>
      </c>
      <c r="Y111">
        <v>-18.267914866882698</v>
      </c>
      <c r="AA111" t="str">
        <f t="shared" si="2"/>
        <v xml:space="preserve"> </v>
      </c>
      <c r="AC111">
        <f t="shared" si="3"/>
        <v>3.9241484302915901E-2</v>
      </c>
    </row>
    <row r="112" spans="1:29" x14ac:dyDescent="0.2">
      <c r="A112" t="s">
        <v>19</v>
      </c>
      <c r="B112" t="s">
        <v>24</v>
      </c>
      <c r="C112">
        <v>-7.1513906789769502E-2</v>
      </c>
      <c r="D112">
        <v>0.10641522809054101</v>
      </c>
      <c r="E112">
        <v>0.52049828196326697</v>
      </c>
      <c r="F112">
        <v>-16.907574875722901</v>
      </c>
      <c r="G112">
        <v>-12.907574875722901</v>
      </c>
      <c r="I112" t="s">
        <v>19</v>
      </c>
      <c r="J112" t="s">
        <v>24</v>
      </c>
      <c r="K112">
        <v>-5.7398303716519501E-2</v>
      </c>
      <c r="L112">
        <v>0.10179297106900299</v>
      </c>
      <c r="M112">
        <v>0.58829443530351699</v>
      </c>
      <c r="N112">
        <v>-17.002381016153599</v>
      </c>
      <c r="O112" s="23">
        <v>9.9999999999999903E-8</v>
      </c>
      <c r="P112">
        <v>-13.002381016153601</v>
      </c>
      <c r="R112" t="s">
        <v>19</v>
      </c>
      <c r="S112" t="s">
        <v>24</v>
      </c>
      <c r="T112">
        <v>-5.2316685426164099E-2</v>
      </c>
      <c r="U112">
        <v>0.101440320189047</v>
      </c>
      <c r="V112">
        <v>0.61998372204718899</v>
      </c>
      <c r="W112">
        <v>-17.268645033014899</v>
      </c>
      <c r="X112">
        <v>0.31005798025658898</v>
      </c>
      <c r="Y112">
        <v>-13.2686450330149</v>
      </c>
      <c r="AA112" t="str">
        <f t="shared" si="2"/>
        <v xml:space="preserve"> </v>
      </c>
      <c r="AC112">
        <f t="shared" si="3"/>
        <v>0.52049828196326697</v>
      </c>
    </row>
    <row r="113" spans="1:29" x14ac:dyDescent="0.2">
      <c r="A113" t="s">
        <v>19</v>
      </c>
      <c r="B113" t="s">
        <v>23</v>
      </c>
      <c r="C113">
        <v>3.1053513728386299E-3</v>
      </c>
      <c r="D113">
        <v>1.89196127725418E-2</v>
      </c>
      <c r="E113">
        <v>0.87369676513640004</v>
      </c>
      <c r="F113">
        <v>-16.3920269383799</v>
      </c>
      <c r="G113">
        <v>-12.3920269383799</v>
      </c>
      <c r="I113" t="s">
        <v>19</v>
      </c>
      <c r="J113" t="s">
        <v>23</v>
      </c>
      <c r="K113">
        <v>4.3134394546746604E-3</v>
      </c>
      <c r="L113">
        <v>1.8537291796118301E-2</v>
      </c>
      <c r="M113">
        <v>0.82184493450993401</v>
      </c>
      <c r="N113">
        <v>-16.6800875651175</v>
      </c>
      <c r="O113" s="23">
        <v>9.9999999999999903E-8</v>
      </c>
      <c r="P113">
        <v>-12.6800875651175</v>
      </c>
      <c r="R113" t="s">
        <v>19</v>
      </c>
      <c r="S113" t="s">
        <v>23</v>
      </c>
      <c r="T113">
        <v>2.7089057828688602E-3</v>
      </c>
      <c r="U113">
        <v>1.8317135871728299E-2</v>
      </c>
      <c r="V113">
        <v>0.88608975237505405</v>
      </c>
      <c r="W113">
        <v>-16.9695847115667</v>
      </c>
      <c r="X113">
        <v>0.30538749022351702</v>
      </c>
      <c r="Y113">
        <v>-12.9695847115667</v>
      </c>
      <c r="AA113" t="str">
        <f t="shared" si="2"/>
        <v xml:space="preserve"> </v>
      </c>
      <c r="AC113">
        <f t="shared" si="3"/>
        <v>0.82184493450993401</v>
      </c>
    </row>
    <row r="114" spans="1:29" x14ac:dyDescent="0.2">
      <c r="A114" t="s">
        <v>19</v>
      </c>
      <c r="B114" t="s">
        <v>220</v>
      </c>
      <c r="C114">
        <v>-1.0831705500368899E-4</v>
      </c>
      <c r="D114" s="23">
        <v>8.1862084711044003E-5</v>
      </c>
      <c r="E114">
        <v>0.222345960678065</v>
      </c>
      <c r="F114">
        <v>-18.3374515287422</v>
      </c>
      <c r="G114">
        <v>-14.3374515287422</v>
      </c>
      <c r="I114" t="s">
        <v>19</v>
      </c>
      <c r="J114" t="s">
        <v>220</v>
      </c>
      <c r="K114" s="23">
        <v>-8.5588474837912203E-5</v>
      </c>
      <c r="L114" s="23">
        <v>8.3611053131803898E-5</v>
      </c>
      <c r="M114">
        <v>0.33595463248338497</v>
      </c>
      <c r="N114">
        <v>-17.843501909357599</v>
      </c>
      <c r="O114" s="23">
        <v>9.9999999999999903E-8</v>
      </c>
      <c r="P114">
        <v>-13.843501909357601</v>
      </c>
      <c r="R114" t="s">
        <v>19</v>
      </c>
      <c r="S114" t="s">
        <v>220</v>
      </c>
      <c r="T114" s="23">
        <v>-8.5588885120209895E-5</v>
      </c>
      <c r="U114" s="23">
        <v>8.3611150981956005E-5</v>
      </c>
      <c r="V114">
        <v>0.33595298389008998</v>
      </c>
      <c r="W114">
        <v>-17.843488093697498</v>
      </c>
      <c r="X114">
        <v>4.23336542499095</v>
      </c>
      <c r="Y114">
        <v>-13.8434880936975</v>
      </c>
      <c r="AA114" t="str">
        <f t="shared" si="2"/>
        <v xml:space="preserve"> </v>
      </c>
      <c r="AC114">
        <f t="shared" si="3"/>
        <v>0.222345960678065</v>
      </c>
    </row>
    <row r="115" spans="1:29" x14ac:dyDescent="0.2">
      <c r="A115" t="s">
        <v>20</v>
      </c>
      <c r="B115" t="s">
        <v>21</v>
      </c>
      <c r="C115">
        <v>3.7054563326352502E-4</v>
      </c>
      <c r="D115">
        <v>1.03673332023379E-3</v>
      </c>
      <c r="E115">
        <v>0.73002558412028795</v>
      </c>
      <c r="F115">
        <v>0.207003747635117</v>
      </c>
      <c r="G115">
        <v>4.2070037476351203</v>
      </c>
      <c r="I115" t="s">
        <v>20</v>
      </c>
      <c r="J115" t="s">
        <v>21</v>
      </c>
      <c r="K115">
        <v>2.7464297003988699E-3</v>
      </c>
      <c r="L115">
        <v>9.9108403810837901E-4</v>
      </c>
      <c r="M115">
        <v>2.42540728641992E-2</v>
      </c>
      <c r="N115">
        <v>1.2562073625519301</v>
      </c>
      <c r="O115" s="23">
        <v>9.9999999999999903E-8</v>
      </c>
      <c r="P115">
        <v>5.2562073625519297</v>
      </c>
      <c r="R115" t="s">
        <v>20</v>
      </c>
      <c r="S115" t="s">
        <v>21</v>
      </c>
      <c r="T115">
        <v>5.1957089605804798E-4</v>
      </c>
      <c r="U115">
        <v>1.0638870206543501E-3</v>
      </c>
      <c r="V115">
        <v>0.63839203681121404</v>
      </c>
      <c r="W115">
        <v>2.1815379517681999</v>
      </c>
      <c r="X115">
        <v>2.4768489810328E-2</v>
      </c>
      <c r="Y115">
        <v>6.1815379517681999</v>
      </c>
      <c r="AA115" t="str">
        <f t="shared" si="2"/>
        <v xml:space="preserve"> </v>
      </c>
      <c r="AC115">
        <f t="shared" si="3"/>
        <v>2.42540728641992E-2</v>
      </c>
    </row>
    <row r="116" spans="1:29" x14ac:dyDescent="0.2">
      <c r="A116" t="s">
        <v>20</v>
      </c>
      <c r="B116" t="s">
        <v>198</v>
      </c>
      <c r="C116">
        <v>8.6952472820087903E-2</v>
      </c>
      <c r="D116">
        <v>6.0492373334323099E-2</v>
      </c>
      <c r="E116">
        <v>0.18853883977725699</v>
      </c>
      <c r="F116">
        <v>-1.9319459168807001</v>
      </c>
      <c r="G116">
        <v>2.0680540831192999</v>
      </c>
      <c r="I116" t="s">
        <v>20</v>
      </c>
      <c r="J116" t="s">
        <v>198</v>
      </c>
      <c r="K116">
        <v>0.165272792519636</v>
      </c>
      <c r="L116">
        <v>3.0808315169556101E-2</v>
      </c>
      <c r="M116">
        <v>6.7398649035014895E-4</v>
      </c>
      <c r="N116">
        <v>-7.2695529082607804</v>
      </c>
      <c r="O116" s="23">
        <v>9.9999999999999903E-8</v>
      </c>
      <c r="P116">
        <v>-3.2695529082607799</v>
      </c>
      <c r="R116" t="s">
        <v>20</v>
      </c>
      <c r="S116" t="s">
        <v>198</v>
      </c>
      <c r="T116">
        <v>0.16527238770588901</v>
      </c>
      <c r="U116">
        <v>3.0808469650861901E-2</v>
      </c>
      <c r="V116">
        <v>6.7401882237854999E-4</v>
      </c>
      <c r="W116">
        <v>-7.26946048880259</v>
      </c>
      <c r="X116">
        <v>4.23336542499095</v>
      </c>
      <c r="Y116">
        <v>-3.26946048880259</v>
      </c>
      <c r="AA116" t="str">
        <f t="shared" si="2"/>
        <v xml:space="preserve">P &amp; OU </v>
      </c>
      <c r="AC116">
        <f t="shared" si="3"/>
        <v>6.7398649035014895E-4</v>
      </c>
    </row>
    <row r="117" spans="1:29" x14ac:dyDescent="0.2">
      <c r="A117" t="s">
        <v>20</v>
      </c>
      <c r="B117" t="s">
        <v>199</v>
      </c>
      <c r="C117">
        <v>5.5827662460758197E-3</v>
      </c>
      <c r="D117">
        <v>4.2948831035910604E-3</v>
      </c>
      <c r="E117">
        <v>0.22984785323238099</v>
      </c>
      <c r="F117">
        <v>-1.5507399396842001</v>
      </c>
      <c r="G117">
        <v>2.4492600603158001</v>
      </c>
      <c r="I117" t="s">
        <v>20</v>
      </c>
      <c r="J117" t="s">
        <v>199</v>
      </c>
      <c r="K117">
        <v>5.5827662460758197E-3</v>
      </c>
      <c r="L117">
        <v>4.2948831035910604E-3</v>
      </c>
      <c r="M117">
        <v>0.22984785323238099</v>
      </c>
      <c r="N117">
        <v>0.44926006031579702</v>
      </c>
      <c r="O117">
        <v>1</v>
      </c>
      <c r="P117">
        <v>4.4492600603158001</v>
      </c>
      <c r="R117" t="s">
        <v>20</v>
      </c>
      <c r="S117" t="s">
        <v>199</v>
      </c>
      <c r="T117">
        <v>5.5827660554072702E-3</v>
      </c>
      <c r="U117">
        <v>4.2948832605055097E-3</v>
      </c>
      <c r="V117">
        <v>0.22984788323557601</v>
      </c>
      <c r="W117">
        <v>0.44926035444774498</v>
      </c>
      <c r="X117" s="23">
        <v>2.0852823050405099E-8</v>
      </c>
      <c r="Y117">
        <v>4.4492603544477403</v>
      </c>
      <c r="AA117" t="str">
        <f t="shared" si="2"/>
        <v xml:space="preserve"> </v>
      </c>
      <c r="AC117">
        <f t="shared" si="3"/>
        <v>0.22984785323238099</v>
      </c>
    </row>
    <row r="118" spans="1:29" x14ac:dyDescent="0.2">
      <c r="A118" t="s">
        <v>20</v>
      </c>
      <c r="B118" t="s">
        <v>200</v>
      </c>
      <c r="C118">
        <v>4.0398561311382102E-3</v>
      </c>
      <c r="D118">
        <v>7.5766142846280197E-3</v>
      </c>
      <c r="E118">
        <v>0.60838447993886202</v>
      </c>
      <c r="F118">
        <v>1.6215672874526601E-2</v>
      </c>
      <c r="G118">
        <v>4.0162156728745302</v>
      </c>
      <c r="I118" t="s">
        <v>20</v>
      </c>
      <c r="J118" t="s">
        <v>200</v>
      </c>
      <c r="K118">
        <v>1.4827145617750601E-2</v>
      </c>
      <c r="L118">
        <v>3.65062188492045E-3</v>
      </c>
      <c r="M118">
        <v>3.6256902286284001E-3</v>
      </c>
      <c r="N118">
        <v>-3.2055834011533202</v>
      </c>
      <c r="O118" s="23">
        <v>9.9999999999999903E-8</v>
      </c>
      <c r="P118">
        <v>0.79441659884668103</v>
      </c>
      <c r="R118" t="s">
        <v>20</v>
      </c>
      <c r="S118" t="s">
        <v>200</v>
      </c>
      <c r="T118">
        <v>1.48271242983139E-2</v>
      </c>
      <c r="U118">
        <v>3.6506384702833798E-3</v>
      </c>
      <c r="V118">
        <v>3.6258123646286302E-3</v>
      </c>
      <c r="W118">
        <v>-3.2055272302363602</v>
      </c>
      <c r="X118">
        <v>4.23336542499095</v>
      </c>
      <c r="Y118">
        <v>0.79447276976363801</v>
      </c>
      <c r="AA118" t="str">
        <f t="shared" si="2"/>
        <v xml:space="preserve">P &amp; OU </v>
      </c>
      <c r="AC118">
        <f t="shared" si="3"/>
        <v>3.6256902286284001E-3</v>
      </c>
    </row>
    <row r="119" spans="1:29" x14ac:dyDescent="0.2">
      <c r="A119" t="s">
        <v>20</v>
      </c>
      <c r="B119" t="s">
        <v>201</v>
      </c>
      <c r="C119">
        <v>-1.9930224189467199E-3</v>
      </c>
      <c r="D119">
        <v>7.1229639416558901E-4</v>
      </c>
      <c r="E119">
        <v>2.32686155886461E-2</v>
      </c>
      <c r="F119">
        <v>-6.4585572290942403</v>
      </c>
      <c r="G119">
        <v>-2.4585572290942399</v>
      </c>
      <c r="I119" t="s">
        <v>20</v>
      </c>
      <c r="J119" t="s">
        <v>201</v>
      </c>
      <c r="K119">
        <v>-1.9930224189467199E-3</v>
      </c>
      <c r="L119">
        <v>7.1229639416558901E-4</v>
      </c>
      <c r="M119">
        <v>2.32686155886461E-2</v>
      </c>
      <c r="N119">
        <v>-4.4585572290942403</v>
      </c>
      <c r="O119">
        <v>1</v>
      </c>
      <c r="P119">
        <v>-0.45855722909424301</v>
      </c>
      <c r="R119" t="s">
        <v>20</v>
      </c>
      <c r="S119" t="s">
        <v>201</v>
      </c>
      <c r="T119">
        <v>-1.9930224192266301E-3</v>
      </c>
      <c r="U119">
        <v>7.1229640660622098E-4</v>
      </c>
      <c r="V119">
        <v>2.3268617327654801E-2</v>
      </c>
      <c r="W119">
        <v>-4.4585570372087204</v>
      </c>
      <c r="X119" s="23">
        <v>8.5188387651171301E-9</v>
      </c>
      <c r="Y119">
        <v>-0.45855703720871999</v>
      </c>
      <c r="AA119" t="str">
        <f t="shared" si="2"/>
        <v xml:space="preserve"> </v>
      </c>
      <c r="AC119">
        <f t="shared" si="3"/>
        <v>2.32686155886461E-2</v>
      </c>
    </row>
    <row r="120" spans="1:29" x14ac:dyDescent="0.2">
      <c r="A120" t="s">
        <v>20</v>
      </c>
      <c r="B120" t="s">
        <v>202</v>
      </c>
      <c r="C120">
        <v>6.7093976670587502E-2</v>
      </c>
      <c r="D120">
        <v>4.8166022513297602E-2</v>
      </c>
      <c r="E120">
        <v>0.20111562283548101</v>
      </c>
      <c r="F120">
        <v>-1.8062058219785599</v>
      </c>
      <c r="G120">
        <v>2.1937941780214398</v>
      </c>
      <c r="I120" t="s">
        <v>20</v>
      </c>
      <c r="J120" t="s">
        <v>202</v>
      </c>
      <c r="K120">
        <v>0.10041752542945501</v>
      </c>
      <c r="L120">
        <v>2.1033507868931801E-2</v>
      </c>
      <c r="M120">
        <v>1.40110166697906E-3</v>
      </c>
      <c r="N120">
        <v>-5.4932160888514403</v>
      </c>
      <c r="O120" s="23">
        <v>9.9999999999999903E-8</v>
      </c>
      <c r="P120">
        <v>-1.4932160888514401</v>
      </c>
      <c r="R120" t="s">
        <v>20</v>
      </c>
      <c r="S120" t="s">
        <v>202</v>
      </c>
      <c r="T120">
        <v>0.10041752725551301</v>
      </c>
      <c r="U120">
        <v>2.10336113296689E-2</v>
      </c>
      <c r="V120">
        <v>1.4011436865549599E-3</v>
      </c>
      <c r="W120">
        <v>-5.4931679231635</v>
      </c>
      <c r="X120">
        <v>4.23336542499095</v>
      </c>
      <c r="Y120">
        <v>-1.4931679231635</v>
      </c>
      <c r="AA120" t="str">
        <f t="shared" si="2"/>
        <v xml:space="preserve">P &amp; OU </v>
      </c>
      <c r="AC120">
        <f t="shared" si="3"/>
        <v>1.40110166697906E-3</v>
      </c>
    </row>
    <row r="121" spans="1:29" x14ac:dyDescent="0.2">
      <c r="A121" t="s">
        <v>20</v>
      </c>
      <c r="B121" t="s">
        <v>203</v>
      </c>
      <c r="C121">
        <v>1.3006227133206E-4</v>
      </c>
      <c r="D121">
        <v>1.1112446833528399E-4</v>
      </c>
      <c r="E121">
        <v>0.27551457485561298</v>
      </c>
      <c r="F121">
        <v>-1.2151645543096701</v>
      </c>
      <c r="G121">
        <v>2.7848354456903301</v>
      </c>
      <c r="I121" t="s">
        <v>20</v>
      </c>
      <c r="J121" t="s">
        <v>203</v>
      </c>
      <c r="K121">
        <v>1.3006227133206E-4</v>
      </c>
      <c r="L121">
        <v>1.1112446833528399E-4</v>
      </c>
      <c r="M121">
        <v>0.27551457485561298</v>
      </c>
      <c r="N121">
        <v>0.78483544569033004</v>
      </c>
      <c r="O121">
        <v>1</v>
      </c>
      <c r="P121">
        <v>4.7848354456903301</v>
      </c>
      <c r="R121" t="s">
        <v>20</v>
      </c>
      <c r="S121" t="s">
        <v>203</v>
      </c>
      <c r="T121">
        <v>1.30062268167306E-4</v>
      </c>
      <c r="U121">
        <v>1.1112446985843799E-4</v>
      </c>
      <c r="V121">
        <v>0.275514591763103</v>
      </c>
      <c r="W121">
        <v>0.78483557861179098</v>
      </c>
      <c r="X121" s="23">
        <v>8.4667308506563497E-9</v>
      </c>
      <c r="Y121">
        <v>4.7848355786117898</v>
      </c>
      <c r="AA121" t="str">
        <f t="shared" si="2"/>
        <v xml:space="preserve"> </v>
      </c>
      <c r="AC121">
        <f t="shared" si="3"/>
        <v>0.27551457485561298</v>
      </c>
    </row>
    <row r="122" spans="1:29" x14ac:dyDescent="0.2">
      <c r="A122" t="s">
        <v>20</v>
      </c>
      <c r="B122" t="s">
        <v>204</v>
      </c>
      <c r="C122">
        <v>-0.119796928547904</v>
      </c>
      <c r="D122">
        <v>0.129107872669389</v>
      </c>
      <c r="E122">
        <v>0.38061160436403202</v>
      </c>
      <c r="F122">
        <v>-0.65671682410356502</v>
      </c>
      <c r="G122">
        <v>3.3432831758964299</v>
      </c>
      <c r="I122" t="s">
        <v>20</v>
      </c>
      <c r="J122" t="s">
        <v>204</v>
      </c>
      <c r="K122">
        <v>-0.119796928547904</v>
      </c>
      <c r="L122">
        <v>0.129107872669389</v>
      </c>
      <c r="M122">
        <v>0.38061160436403202</v>
      </c>
      <c r="N122">
        <v>1.3432831758964301</v>
      </c>
      <c r="O122">
        <v>1</v>
      </c>
      <c r="P122">
        <v>5.3432831758964303</v>
      </c>
      <c r="R122" t="s">
        <v>20</v>
      </c>
      <c r="S122" t="s">
        <v>204</v>
      </c>
      <c r="T122">
        <v>-0.11979692515851401</v>
      </c>
      <c r="U122">
        <v>0.129107875626883</v>
      </c>
      <c r="V122">
        <v>0.38061162755963801</v>
      </c>
      <c r="W122">
        <v>1.3432832928188201</v>
      </c>
      <c r="X122" s="23">
        <v>8.4667308499818997E-9</v>
      </c>
      <c r="Y122">
        <v>5.3432832928188203</v>
      </c>
      <c r="AA122" t="str">
        <f t="shared" si="2"/>
        <v xml:space="preserve"> </v>
      </c>
      <c r="AC122">
        <f t="shared" si="3"/>
        <v>0.38061160436403202</v>
      </c>
    </row>
    <row r="123" spans="1:29" x14ac:dyDescent="0.2">
      <c r="A123" t="s">
        <v>20</v>
      </c>
      <c r="B123" t="s">
        <v>206</v>
      </c>
      <c r="C123">
        <v>8.4844822981616792E-3</v>
      </c>
      <c r="D123">
        <v>1.5928554951832301E-2</v>
      </c>
      <c r="E123">
        <v>0.60874281333399505</v>
      </c>
      <c r="F123">
        <v>1.6913137302854198E-2</v>
      </c>
      <c r="G123">
        <v>4.0169131373028497</v>
      </c>
      <c r="I123" t="s">
        <v>20</v>
      </c>
      <c r="J123" t="s">
        <v>206</v>
      </c>
      <c r="K123">
        <v>8.4844822981616792E-3</v>
      </c>
      <c r="L123">
        <v>1.5928554951832301E-2</v>
      </c>
      <c r="M123">
        <v>0.60874281333399505</v>
      </c>
      <c r="N123">
        <v>2.0169131373028502</v>
      </c>
      <c r="O123">
        <v>1</v>
      </c>
      <c r="P123">
        <v>6.0169131373028497</v>
      </c>
      <c r="R123" t="s">
        <v>20</v>
      </c>
      <c r="S123" t="s">
        <v>206</v>
      </c>
      <c r="T123">
        <v>8.4844821467701097E-3</v>
      </c>
      <c r="U123">
        <v>1.59285550910131E-2</v>
      </c>
      <c r="V123">
        <v>0.60874282269484703</v>
      </c>
      <c r="W123">
        <v>2.01691317293808</v>
      </c>
      <c r="X123" s="23">
        <v>8.4667308499818997E-9</v>
      </c>
      <c r="Y123">
        <v>6.0169131729380796</v>
      </c>
      <c r="AA123" t="str">
        <f t="shared" si="2"/>
        <v xml:space="preserve"> </v>
      </c>
      <c r="AC123">
        <f t="shared" si="3"/>
        <v>0.60874281333399505</v>
      </c>
    </row>
    <row r="124" spans="1:29" x14ac:dyDescent="0.2">
      <c r="A124" t="s">
        <v>20</v>
      </c>
      <c r="B124" t="s">
        <v>205</v>
      </c>
      <c r="C124">
        <v>-0.12171318838517201</v>
      </c>
      <c r="D124">
        <v>0.29083771707327399</v>
      </c>
      <c r="E124">
        <v>0.68659631371681795</v>
      </c>
      <c r="F124">
        <v>0.148868128839485</v>
      </c>
      <c r="G124">
        <v>4.1488681288394904</v>
      </c>
      <c r="I124" t="s">
        <v>20</v>
      </c>
      <c r="J124" t="s">
        <v>205</v>
      </c>
      <c r="K124">
        <v>-0.12171318838517201</v>
      </c>
      <c r="L124">
        <v>0.29083771707327399</v>
      </c>
      <c r="M124">
        <v>0.68659631371681795</v>
      </c>
      <c r="N124">
        <v>2.14886812883949</v>
      </c>
      <c r="O124">
        <v>1</v>
      </c>
      <c r="P124">
        <v>6.1488681288394904</v>
      </c>
      <c r="R124" t="s">
        <v>20</v>
      </c>
      <c r="S124" t="s">
        <v>205</v>
      </c>
      <c r="T124">
        <v>-0.121713172405246</v>
      </c>
      <c r="U124">
        <v>0.29083772010688502</v>
      </c>
      <c r="V124">
        <v>0.68659635532758101</v>
      </c>
      <c r="W124">
        <v>2.1488682069882299</v>
      </c>
      <c r="X124" s="23">
        <v>8.4667308499818997E-9</v>
      </c>
      <c r="Y124">
        <v>6.1488682069882303</v>
      </c>
      <c r="AA124" t="str">
        <f t="shared" si="2"/>
        <v xml:space="preserve"> </v>
      </c>
      <c r="AC124">
        <f t="shared" si="3"/>
        <v>0.68659631371681795</v>
      </c>
    </row>
    <row r="125" spans="1:29" x14ac:dyDescent="0.2">
      <c r="A125" t="s">
        <v>20</v>
      </c>
      <c r="B125" t="s">
        <v>207</v>
      </c>
      <c r="C125">
        <v>-1.2961397878083101E-3</v>
      </c>
      <c r="D125">
        <v>1.11176438099072E-3</v>
      </c>
      <c r="E125">
        <v>0.27725810030532899</v>
      </c>
      <c r="F125">
        <v>-1.2037399372563</v>
      </c>
      <c r="G125">
        <v>2.7962600627437002</v>
      </c>
      <c r="I125" t="s">
        <v>20</v>
      </c>
      <c r="J125" t="s">
        <v>207</v>
      </c>
      <c r="K125">
        <v>-1.64377231775909E-3</v>
      </c>
      <c r="L125">
        <v>1.17379229501773E-3</v>
      </c>
      <c r="M125">
        <v>0.198965580343308</v>
      </c>
      <c r="N125">
        <v>0.43442194845626098</v>
      </c>
      <c r="O125">
        <v>0.88331989783713305</v>
      </c>
      <c r="P125">
        <v>4.4344219484562597</v>
      </c>
      <c r="R125" t="s">
        <v>20</v>
      </c>
      <c r="S125" t="s">
        <v>207</v>
      </c>
      <c r="T125">
        <v>-1.31984191648116E-3</v>
      </c>
      <c r="U125">
        <v>1.1223657019418E-3</v>
      </c>
      <c r="V125">
        <v>0.27342230427124298</v>
      </c>
      <c r="W125">
        <v>0.79136148537231299</v>
      </c>
      <c r="X125">
        <v>7.0043402622720899E-3</v>
      </c>
      <c r="Y125">
        <v>4.7913614853723097</v>
      </c>
      <c r="AA125" t="str">
        <f t="shared" si="2"/>
        <v xml:space="preserve"> </v>
      </c>
      <c r="AC125">
        <f t="shared" si="3"/>
        <v>0.198965580343308</v>
      </c>
    </row>
    <row r="126" spans="1:29" x14ac:dyDescent="0.2">
      <c r="A126" t="s">
        <v>20</v>
      </c>
      <c r="B126" t="s">
        <v>208</v>
      </c>
      <c r="C126">
        <v>3.1381641379431897E-2</v>
      </c>
      <c r="D126">
        <v>7.7491213808341106E-2</v>
      </c>
      <c r="E126">
        <v>0.69611206913509305</v>
      </c>
      <c r="F126">
        <v>0.162497244016645</v>
      </c>
      <c r="G126">
        <v>4.1624972440166497</v>
      </c>
      <c r="I126" t="s">
        <v>20</v>
      </c>
      <c r="J126" t="s">
        <v>208</v>
      </c>
      <c r="K126">
        <v>3.1381641379431897E-2</v>
      </c>
      <c r="L126">
        <v>7.7491213808341106E-2</v>
      </c>
      <c r="M126">
        <v>0.69611206913509305</v>
      </c>
      <c r="N126">
        <v>2.1624972440166501</v>
      </c>
      <c r="O126">
        <v>1</v>
      </c>
      <c r="P126">
        <v>6.1624972440166497</v>
      </c>
      <c r="R126" t="s">
        <v>20</v>
      </c>
      <c r="S126" t="s">
        <v>208</v>
      </c>
      <c r="T126">
        <v>3.1381641773997097E-2</v>
      </c>
      <c r="U126">
        <v>7.7491215034160302E-2</v>
      </c>
      <c r="V126">
        <v>0.69611207006293696</v>
      </c>
      <c r="W126">
        <v>2.1624972627473098</v>
      </c>
      <c r="X126" s="23">
        <v>8.4667308499818997E-9</v>
      </c>
      <c r="Y126">
        <v>6.1624972627473102</v>
      </c>
      <c r="AA126" t="str">
        <f t="shared" si="2"/>
        <v xml:space="preserve"> </v>
      </c>
      <c r="AC126">
        <f t="shared" si="3"/>
        <v>0.69611206913509305</v>
      </c>
    </row>
    <row r="127" spans="1:29" x14ac:dyDescent="0.2">
      <c r="A127" t="s">
        <v>20</v>
      </c>
      <c r="B127" t="s">
        <v>209</v>
      </c>
      <c r="C127">
        <v>-6.3224538858664802E-4</v>
      </c>
      <c r="D127">
        <v>4.53794797701003E-4</v>
      </c>
      <c r="E127">
        <v>0.20103775945784799</v>
      </c>
      <c r="F127">
        <v>-1.80695572696653</v>
      </c>
      <c r="G127">
        <v>2.19304427303347</v>
      </c>
      <c r="I127" t="s">
        <v>20</v>
      </c>
      <c r="J127" t="s">
        <v>209</v>
      </c>
      <c r="K127">
        <v>-6.3224538858664802E-4</v>
      </c>
      <c r="L127">
        <v>4.53794797701003E-4</v>
      </c>
      <c r="M127">
        <v>0.20103775945784799</v>
      </c>
      <c r="N127">
        <v>0.19304427303346799</v>
      </c>
      <c r="O127">
        <v>1</v>
      </c>
      <c r="P127">
        <v>4.19304427303347</v>
      </c>
      <c r="R127" t="s">
        <v>20</v>
      </c>
      <c r="S127" t="s">
        <v>209</v>
      </c>
      <c r="T127">
        <v>-6.3224539042050401E-4</v>
      </c>
      <c r="U127">
        <v>4.5379480461941102E-4</v>
      </c>
      <c r="V127">
        <v>0.20103776446246699</v>
      </c>
      <c r="W127">
        <v>0.19304434052924099</v>
      </c>
      <c r="X127" s="23">
        <v>8.8774345488621397E-9</v>
      </c>
      <c r="Y127">
        <v>4.1930443405292399</v>
      </c>
      <c r="AA127" t="str">
        <f t="shared" si="2"/>
        <v xml:space="preserve"> </v>
      </c>
      <c r="AC127">
        <f t="shared" si="3"/>
        <v>0.20103775945784799</v>
      </c>
    </row>
    <row r="128" spans="1:29" x14ac:dyDescent="0.2">
      <c r="A128" t="s">
        <v>20</v>
      </c>
      <c r="B128" t="s">
        <v>210</v>
      </c>
      <c r="C128">
        <v>-0.22339890247802299</v>
      </c>
      <c r="D128">
        <v>7.2921739289649304E-2</v>
      </c>
      <c r="E128">
        <v>1.5499015748111199E-2</v>
      </c>
      <c r="F128">
        <v>-7.3964077792399001</v>
      </c>
      <c r="G128">
        <v>-3.3964077792399001</v>
      </c>
      <c r="I128" t="s">
        <v>20</v>
      </c>
      <c r="J128" t="s">
        <v>210</v>
      </c>
      <c r="K128">
        <v>-0.22339890247802299</v>
      </c>
      <c r="L128">
        <v>7.2921739289649304E-2</v>
      </c>
      <c r="M128">
        <v>1.5499015748111199E-2</v>
      </c>
      <c r="N128">
        <v>-5.3964077792399001</v>
      </c>
      <c r="O128">
        <v>1</v>
      </c>
      <c r="P128">
        <v>-1.3964077792398999</v>
      </c>
      <c r="R128" t="s">
        <v>20</v>
      </c>
      <c r="S128" t="s">
        <v>210</v>
      </c>
      <c r="T128">
        <v>-0.22339890426033601</v>
      </c>
      <c r="U128">
        <v>7.29217412436865E-2</v>
      </c>
      <c r="V128">
        <v>1.5499017104207501E-2</v>
      </c>
      <c r="W128">
        <v>-5.3964075564848599</v>
      </c>
      <c r="X128" s="23">
        <v>8.8051641162032501E-9</v>
      </c>
      <c r="Y128">
        <v>-1.3964075564848599</v>
      </c>
      <c r="AA128" t="str">
        <f t="shared" si="2"/>
        <v xml:space="preserve"> </v>
      </c>
      <c r="AC128">
        <f t="shared" si="3"/>
        <v>1.5499015748111199E-2</v>
      </c>
    </row>
    <row r="129" spans="1:29" x14ac:dyDescent="0.2">
      <c r="A129" t="s">
        <v>20</v>
      </c>
      <c r="B129" t="s">
        <v>4</v>
      </c>
      <c r="C129">
        <v>-8.1437369924438799E-2</v>
      </c>
      <c r="D129">
        <v>0.10181452751244401</v>
      </c>
      <c r="E129">
        <v>0.446889909672398</v>
      </c>
      <c r="F129">
        <v>-0.403925757675832</v>
      </c>
      <c r="G129">
        <v>3.5960742423241698</v>
      </c>
      <c r="I129" t="s">
        <v>20</v>
      </c>
      <c r="J129" t="s">
        <v>4</v>
      </c>
      <c r="K129">
        <v>-8.1437369924438799E-2</v>
      </c>
      <c r="L129">
        <v>0.10181452751244401</v>
      </c>
      <c r="M129">
        <v>0.446889909672398</v>
      </c>
      <c r="N129">
        <v>1.5960742423241701</v>
      </c>
      <c r="O129">
        <v>1</v>
      </c>
      <c r="P129">
        <v>5.5960742423241703</v>
      </c>
      <c r="R129" t="s">
        <v>20</v>
      </c>
      <c r="S129" t="s">
        <v>4</v>
      </c>
      <c r="T129">
        <v>-8.1437369839667997E-2</v>
      </c>
      <c r="U129">
        <v>0.101814528865872</v>
      </c>
      <c r="V129">
        <v>0.44688991594472099</v>
      </c>
      <c r="W129">
        <v>1.5960742809795101</v>
      </c>
      <c r="X129" s="23">
        <v>8.4667308499818997E-9</v>
      </c>
      <c r="Y129">
        <v>5.5960742809795097</v>
      </c>
      <c r="AA129" t="str">
        <f t="shared" si="2"/>
        <v xml:space="preserve"> </v>
      </c>
      <c r="AC129">
        <f t="shared" si="3"/>
        <v>0.446889909672398</v>
      </c>
    </row>
    <row r="130" spans="1:29" x14ac:dyDescent="0.2">
      <c r="A130" t="s">
        <v>20</v>
      </c>
      <c r="B130" t="s">
        <v>3</v>
      </c>
      <c r="C130">
        <v>0.824291440726313</v>
      </c>
      <c r="D130">
        <v>1.05977531007093</v>
      </c>
      <c r="E130">
        <v>0.45907004948909502</v>
      </c>
      <c r="F130">
        <v>-0.36355880484256498</v>
      </c>
      <c r="G130">
        <v>3.6364411951574298</v>
      </c>
      <c r="I130" t="s">
        <v>20</v>
      </c>
      <c r="J130" t="s">
        <v>3</v>
      </c>
      <c r="K130">
        <v>0.824291440726313</v>
      </c>
      <c r="L130">
        <v>1.05977531007093</v>
      </c>
      <c r="M130">
        <v>0.45907004948909502</v>
      </c>
      <c r="N130">
        <v>1.63644119515743</v>
      </c>
      <c r="O130">
        <v>1</v>
      </c>
      <c r="P130">
        <v>5.6364411951574303</v>
      </c>
      <c r="R130" t="s">
        <v>20</v>
      </c>
      <c r="S130" t="s">
        <v>3</v>
      </c>
      <c r="T130">
        <v>0.82429144318046399</v>
      </c>
      <c r="U130">
        <v>1.0597753226956801</v>
      </c>
      <c r="V130">
        <v>0.45907005336092199</v>
      </c>
      <c r="W130">
        <v>1.63644122514805</v>
      </c>
      <c r="X130" s="23">
        <v>8.4667308499818997E-9</v>
      </c>
      <c r="Y130">
        <v>5.63644122514805</v>
      </c>
      <c r="AA130" t="str">
        <f t="shared" si="2"/>
        <v xml:space="preserve"> </v>
      </c>
      <c r="AC130">
        <f t="shared" si="3"/>
        <v>0.45907004948909502</v>
      </c>
    </row>
    <row r="131" spans="1:29" x14ac:dyDescent="0.2">
      <c r="A131" t="s">
        <v>20</v>
      </c>
      <c r="B131" t="s">
        <v>211</v>
      </c>
      <c r="C131">
        <v>-0.16485229914646601</v>
      </c>
      <c r="D131">
        <v>0.17973577229009</v>
      </c>
      <c r="E131">
        <v>0.38585728855185902</v>
      </c>
      <c r="F131">
        <v>-0.63443283530613903</v>
      </c>
      <c r="G131">
        <v>3.3655671646938599</v>
      </c>
      <c r="I131" t="s">
        <v>20</v>
      </c>
      <c r="J131" t="s">
        <v>211</v>
      </c>
      <c r="K131">
        <v>-0.16485229914646601</v>
      </c>
      <c r="L131">
        <v>0.17973577229009</v>
      </c>
      <c r="M131">
        <v>0.38585728855185902</v>
      </c>
      <c r="N131">
        <v>1.3655671646938601</v>
      </c>
      <c r="O131">
        <v>1</v>
      </c>
      <c r="P131">
        <v>5.3655671646938599</v>
      </c>
      <c r="R131" t="s">
        <v>20</v>
      </c>
      <c r="S131" t="s">
        <v>211</v>
      </c>
      <c r="T131">
        <v>-0.16485229921452199</v>
      </c>
      <c r="U131">
        <v>0.179735776445379</v>
      </c>
      <c r="V131">
        <v>0.38585729882256398</v>
      </c>
      <c r="W131">
        <v>1.3655672253300399</v>
      </c>
      <c r="X131" s="23">
        <v>8.4667308499818997E-9</v>
      </c>
      <c r="Y131">
        <v>5.3655672253300404</v>
      </c>
      <c r="AA131" t="str">
        <f t="shared" si="2"/>
        <v xml:space="preserve"> </v>
      </c>
      <c r="AC131">
        <f t="shared" si="3"/>
        <v>0.38585728855185902</v>
      </c>
    </row>
    <row r="132" spans="1:29" x14ac:dyDescent="0.2">
      <c r="A132" t="s">
        <v>20</v>
      </c>
      <c r="B132" t="s">
        <v>212</v>
      </c>
      <c r="C132">
        <v>0.41618395327090602</v>
      </c>
      <c r="D132">
        <v>0.441456531778466</v>
      </c>
      <c r="E132">
        <v>0.37340245898859498</v>
      </c>
      <c r="F132">
        <v>-0.68805834659070397</v>
      </c>
      <c r="G132">
        <v>3.3119416534093</v>
      </c>
      <c r="I132" t="s">
        <v>20</v>
      </c>
      <c r="J132" t="s">
        <v>212</v>
      </c>
      <c r="K132">
        <v>0.41618395327090602</v>
      </c>
      <c r="L132">
        <v>0.441456531778466</v>
      </c>
      <c r="M132">
        <v>0.37340245898859498</v>
      </c>
      <c r="N132">
        <v>1.3119416534093</v>
      </c>
      <c r="O132">
        <v>1</v>
      </c>
      <c r="P132">
        <v>5.3119416534093</v>
      </c>
      <c r="R132" t="s">
        <v>20</v>
      </c>
      <c r="S132" t="s">
        <v>212</v>
      </c>
      <c r="T132">
        <v>0.41618395333510699</v>
      </c>
      <c r="U132">
        <v>0.44145653703362497</v>
      </c>
      <c r="V132">
        <v>0.37340246432131402</v>
      </c>
      <c r="W132">
        <v>1.3119416976752201</v>
      </c>
      <c r="X132" s="23">
        <v>8.5305323241011299E-9</v>
      </c>
      <c r="Y132">
        <v>5.3119416976752198</v>
      </c>
      <c r="AA132" t="str">
        <f t="shared" si="2"/>
        <v xml:space="preserve"> </v>
      </c>
      <c r="AC132">
        <f t="shared" si="3"/>
        <v>0.37340245898859498</v>
      </c>
    </row>
    <row r="133" spans="1:29" x14ac:dyDescent="0.2">
      <c r="A133" t="s">
        <v>20</v>
      </c>
      <c r="B133" t="s">
        <v>213</v>
      </c>
      <c r="C133">
        <v>-0.29339642460593801</v>
      </c>
      <c r="D133">
        <v>0.400703168180229</v>
      </c>
      <c r="E133">
        <v>0.48493961509694899</v>
      </c>
      <c r="F133">
        <v>-0.28322785186034899</v>
      </c>
      <c r="G133">
        <v>3.7167721481396501</v>
      </c>
      <c r="I133" t="s">
        <v>20</v>
      </c>
      <c r="J133" t="s">
        <v>213</v>
      </c>
      <c r="K133">
        <v>-0.29339642460593801</v>
      </c>
      <c r="L133">
        <v>0.400703168180229</v>
      </c>
      <c r="M133">
        <v>0.48493961509694899</v>
      </c>
      <c r="N133">
        <v>1.7167721481396501</v>
      </c>
      <c r="O133">
        <v>1</v>
      </c>
      <c r="P133">
        <v>5.7167721481396496</v>
      </c>
      <c r="R133" t="s">
        <v>20</v>
      </c>
      <c r="S133" t="s">
        <v>213</v>
      </c>
      <c r="T133">
        <v>-0.293396393995419</v>
      </c>
      <c r="U133">
        <v>0.40070318761224399</v>
      </c>
      <c r="V133">
        <v>0.484939679731614</v>
      </c>
      <c r="W133">
        <v>1.7167723893265401</v>
      </c>
      <c r="X133" s="23">
        <v>2.1978852399247799E-8</v>
      </c>
      <c r="Y133">
        <v>5.7167723893265396</v>
      </c>
      <c r="AA133" t="str">
        <f t="shared" si="2"/>
        <v xml:space="preserve"> </v>
      </c>
      <c r="AC133">
        <f t="shared" si="3"/>
        <v>0.48493961509694899</v>
      </c>
    </row>
    <row r="134" spans="1:29" x14ac:dyDescent="0.2">
      <c r="A134" t="s">
        <v>20</v>
      </c>
      <c r="B134" t="s">
        <v>214</v>
      </c>
      <c r="C134">
        <v>-8.6812780420381E-4</v>
      </c>
      <c r="D134">
        <v>9.9777901759288794E-4</v>
      </c>
      <c r="E134">
        <v>0.40961324356523199</v>
      </c>
      <c r="F134">
        <v>-0.538698350769241</v>
      </c>
      <c r="G134">
        <v>3.46130164923076</v>
      </c>
      <c r="I134" t="s">
        <v>20</v>
      </c>
      <c r="J134" t="s">
        <v>214</v>
      </c>
      <c r="K134">
        <v>-8.6812780420381E-4</v>
      </c>
      <c r="L134">
        <v>9.9777901759288794E-4</v>
      </c>
      <c r="M134">
        <v>0.40961324356523199</v>
      </c>
      <c r="N134">
        <v>1.46130164923076</v>
      </c>
      <c r="O134">
        <v>1</v>
      </c>
      <c r="P134">
        <v>5.4613016492307596</v>
      </c>
      <c r="R134" t="s">
        <v>20</v>
      </c>
      <c r="S134" t="s">
        <v>214</v>
      </c>
      <c r="T134">
        <v>-8.6812769200536697E-4</v>
      </c>
      <c r="U134">
        <v>9.9777912764486198E-4</v>
      </c>
      <c r="V134">
        <v>0.40961335087346001</v>
      </c>
      <c r="W134">
        <v>1.46130217575413</v>
      </c>
      <c r="X134" s="23">
        <v>4.94346008331153E-8</v>
      </c>
      <c r="Y134">
        <v>5.4613021757541302</v>
      </c>
      <c r="AA134" t="str">
        <f t="shared" ref="AA134:AA197" si="4">IF(AND(G134-P134&lt;-2, G134-Y134&lt;-2), "BM", IF(OR(P134-G134&lt;-2, Y134-G134&lt;-2), IF(AND(P134-G134&lt;-2, Y134-G134&gt;-2), "P ", IF(AND(P134-G134&lt;-2, Y134-G134&lt;-2), "P &amp; OU ", "OU ")), " "))</f>
        <v xml:space="preserve"> </v>
      </c>
      <c r="AC134">
        <f t="shared" ref="AC134:AC197" si="5">MIN(E134,M134,V134)</f>
        <v>0.40961324356523199</v>
      </c>
    </row>
    <row r="135" spans="1:29" x14ac:dyDescent="0.2">
      <c r="A135" t="s">
        <v>20</v>
      </c>
      <c r="B135" t="s">
        <v>215</v>
      </c>
      <c r="C135">
        <v>0.477542840346241</v>
      </c>
      <c r="D135">
        <v>9.02520981345699E-2</v>
      </c>
      <c r="E135">
        <v>7.3616158142417903E-4</v>
      </c>
      <c r="F135">
        <v>-14.6744894555248</v>
      </c>
      <c r="G135">
        <v>-10.6744894555248</v>
      </c>
      <c r="I135" t="s">
        <v>20</v>
      </c>
      <c r="J135" t="s">
        <v>215</v>
      </c>
      <c r="K135">
        <v>0.62421143418457303</v>
      </c>
      <c r="L135">
        <v>8.0688889681680906E-2</v>
      </c>
      <c r="M135" s="23">
        <v>5.5552767362915702E-5</v>
      </c>
      <c r="N135">
        <v>-13.392863561188401</v>
      </c>
      <c r="O135" s="23">
        <v>9.9999999999999903E-8</v>
      </c>
      <c r="P135">
        <v>-9.3928635611884097</v>
      </c>
      <c r="R135" t="s">
        <v>20</v>
      </c>
      <c r="S135" t="s">
        <v>215</v>
      </c>
      <c r="T135">
        <v>0.62400476111411496</v>
      </c>
      <c r="U135">
        <v>8.0839274813294906E-2</v>
      </c>
      <c r="V135" s="23">
        <v>5.6430466958448302E-5</v>
      </c>
      <c r="W135">
        <v>-13.3933547961134</v>
      </c>
      <c r="X135">
        <v>1.3033318930953399</v>
      </c>
      <c r="Y135">
        <v>-9.3933547961133907</v>
      </c>
      <c r="AA135" t="str">
        <f t="shared" si="4"/>
        <v xml:space="preserve"> </v>
      </c>
      <c r="AC135">
        <f t="shared" si="5"/>
        <v>5.5552767362915702E-5</v>
      </c>
    </row>
    <row r="136" spans="1:29" x14ac:dyDescent="0.2">
      <c r="A136" t="s">
        <v>20</v>
      </c>
      <c r="B136" t="s">
        <v>25</v>
      </c>
      <c r="C136">
        <v>-1.9125801803163801E-4</v>
      </c>
      <c r="D136">
        <v>4.8790544642228001E-4</v>
      </c>
      <c r="E136">
        <v>0.70529545955777795</v>
      </c>
      <c r="F136">
        <v>0.17516870528786299</v>
      </c>
      <c r="G136">
        <v>4.1751687052878603</v>
      </c>
      <c r="I136" t="s">
        <v>20</v>
      </c>
      <c r="J136" t="s">
        <v>25</v>
      </c>
      <c r="K136">
        <v>-1.9125801803163801E-4</v>
      </c>
      <c r="L136">
        <v>4.8790544642228001E-4</v>
      </c>
      <c r="M136">
        <v>0.70529545955777795</v>
      </c>
      <c r="N136">
        <v>2.1751687052878599</v>
      </c>
      <c r="O136">
        <v>1</v>
      </c>
      <c r="P136">
        <v>6.1751687052878603</v>
      </c>
      <c r="R136" t="s">
        <v>20</v>
      </c>
      <c r="S136" t="s">
        <v>25</v>
      </c>
      <c r="T136">
        <v>-1.9125800935178999E-4</v>
      </c>
      <c r="U136">
        <v>4.8790545487450602E-4</v>
      </c>
      <c r="V136">
        <v>0.70529547700863104</v>
      </c>
      <c r="W136">
        <v>2.1751687463496099</v>
      </c>
      <c r="X136" s="23">
        <v>8.4667308499818997E-9</v>
      </c>
      <c r="Y136">
        <v>6.1751687463496099</v>
      </c>
      <c r="AA136" t="str">
        <f t="shared" si="4"/>
        <v xml:space="preserve"> </v>
      </c>
      <c r="AC136">
        <f t="shared" si="5"/>
        <v>0.70529545955777795</v>
      </c>
    </row>
    <row r="137" spans="1:29" x14ac:dyDescent="0.2">
      <c r="A137" t="s">
        <v>20</v>
      </c>
      <c r="B137" t="s">
        <v>24</v>
      </c>
      <c r="C137">
        <v>-0.538657307192285</v>
      </c>
      <c r="D137">
        <v>0.165634251505903</v>
      </c>
      <c r="E137">
        <v>1.16645504704679E-2</v>
      </c>
      <c r="F137">
        <v>-8.0589075655041693</v>
      </c>
      <c r="G137">
        <v>-4.0589075655041702</v>
      </c>
      <c r="I137" t="s">
        <v>20</v>
      </c>
      <c r="J137" t="s">
        <v>24</v>
      </c>
      <c r="K137">
        <v>-0.59763890754174198</v>
      </c>
      <c r="L137">
        <v>0.164436773234754</v>
      </c>
      <c r="M137">
        <v>6.6420013949495199E-3</v>
      </c>
      <c r="N137">
        <v>-6.7248149120861997</v>
      </c>
      <c r="O137">
        <v>0.75333761153909296</v>
      </c>
      <c r="P137">
        <v>-2.7248149120862002</v>
      </c>
      <c r="R137" t="s">
        <v>20</v>
      </c>
      <c r="S137" t="s">
        <v>24</v>
      </c>
      <c r="T137">
        <v>-0.57401671006863697</v>
      </c>
      <c r="U137">
        <v>0.16928414180163601</v>
      </c>
      <c r="V137">
        <v>9.4880538963349002E-3</v>
      </c>
      <c r="W137">
        <v>-6.2420681248682497</v>
      </c>
      <c r="X137">
        <v>4.7977915920320503E-2</v>
      </c>
      <c r="Y137">
        <v>-2.2420681248682501</v>
      </c>
      <c r="AA137" t="str">
        <f t="shared" si="4"/>
        <v xml:space="preserve"> </v>
      </c>
      <c r="AC137">
        <f t="shared" si="5"/>
        <v>6.6420013949495199E-3</v>
      </c>
    </row>
    <row r="138" spans="1:29" x14ac:dyDescent="0.2">
      <c r="A138" t="s">
        <v>20</v>
      </c>
      <c r="B138" t="s">
        <v>23</v>
      </c>
      <c r="C138">
        <v>6.38677382075752E-2</v>
      </c>
      <c r="D138">
        <v>3.7450897989239597E-2</v>
      </c>
      <c r="E138">
        <v>0.12651955050814101</v>
      </c>
      <c r="F138">
        <v>-2.7353951147823401</v>
      </c>
      <c r="G138">
        <v>1.2646048852176599</v>
      </c>
      <c r="I138" t="s">
        <v>20</v>
      </c>
      <c r="J138" t="s">
        <v>23</v>
      </c>
      <c r="K138">
        <v>7.8790753202524003E-2</v>
      </c>
      <c r="L138">
        <v>3.7060877119921599E-2</v>
      </c>
      <c r="M138">
        <v>6.62058340223316E-2</v>
      </c>
      <c r="N138">
        <v>-1.4684778436830801</v>
      </c>
      <c r="O138">
        <v>0.757848639137084</v>
      </c>
      <c r="P138">
        <v>2.5315221563169201</v>
      </c>
      <c r="R138" t="s">
        <v>20</v>
      </c>
      <c r="S138" t="s">
        <v>23</v>
      </c>
      <c r="T138">
        <v>7.22593308503474E-2</v>
      </c>
      <c r="U138">
        <v>3.8549050412273599E-2</v>
      </c>
      <c r="V138">
        <v>9.7731978774740103E-2</v>
      </c>
      <c r="W138">
        <v>-0.93107628124346498</v>
      </c>
      <c r="X138">
        <v>5.224709956503E-2</v>
      </c>
      <c r="Y138">
        <v>3.0689237187565399</v>
      </c>
      <c r="AA138" t="str">
        <f t="shared" si="4"/>
        <v xml:space="preserve"> </v>
      </c>
      <c r="AC138">
        <f t="shared" si="5"/>
        <v>6.62058340223316E-2</v>
      </c>
    </row>
    <row r="139" spans="1:29" x14ac:dyDescent="0.2">
      <c r="A139" t="s">
        <v>20</v>
      </c>
      <c r="B139" t="s">
        <v>220</v>
      </c>
      <c r="C139">
        <v>-4.5616099284474598E-4</v>
      </c>
      <c r="D139">
        <v>1.3222265344999299E-4</v>
      </c>
      <c r="E139">
        <v>8.6954925059612304E-3</v>
      </c>
      <c r="F139">
        <v>-8.7484248762369905</v>
      </c>
      <c r="G139">
        <v>-4.7484248762369896</v>
      </c>
      <c r="I139" t="s">
        <v>20</v>
      </c>
      <c r="J139" t="s">
        <v>220</v>
      </c>
      <c r="K139">
        <v>-4.5616099284474598E-4</v>
      </c>
      <c r="L139">
        <v>1.3222265344999299E-4</v>
      </c>
      <c r="M139">
        <v>8.6954925059612304E-3</v>
      </c>
      <c r="N139">
        <v>-6.7484248762369896</v>
      </c>
      <c r="O139">
        <v>1</v>
      </c>
      <c r="P139">
        <v>-2.7484248762369901</v>
      </c>
      <c r="R139" t="s">
        <v>20</v>
      </c>
      <c r="S139" t="s">
        <v>220</v>
      </c>
      <c r="T139">
        <v>-4.6116297903569799E-4</v>
      </c>
      <c r="U139">
        <v>1.33302785811864E-4</v>
      </c>
      <c r="V139">
        <v>8.5739034641818396E-3</v>
      </c>
      <c r="W139">
        <v>-6.7544632596511498</v>
      </c>
      <c r="X139">
        <v>8.8404478137949199E-3</v>
      </c>
      <c r="Y139">
        <v>-2.7544632596511498</v>
      </c>
      <c r="AA139" t="str">
        <f t="shared" si="4"/>
        <v xml:space="preserve"> </v>
      </c>
      <c r="AC139">
        <f t="shared" si="5"/>
        <v>8.5739034641818396E-3</v>
      </c>
    </row>
    <row r="140" spans="1:29" x14ac:dyDescent="0.2">
      <c r="A140" t="s">
        <v>21</v>
      </c>
      <c r="B140" t="s">
        <v>198</v>
      </c>
      <c r="C140">
        <v>31.7946578153635</v>
      </c>
      <c r="D140">
        <v>20.017747153509699</v>
      </c>
      <c r="E140">
        <v>0.15087581008711001</v>
      </c>
      <c r="F140">
        <v>114.105198487954</v>
      </c>
      <c r="G140">
        <v>118.105198487954</v>
      </c>
      <c r="I140" t="s">
        <v>21</v>
      </c>
      <c r="J140" t="s">
        <v>198</v>
      </c>
      <c r="K140">
        <v>37.449698685831301</v>
      </c>
      <c r="L140">
        <v>10.3933129386036</v>
      </c>
      <c r="M140">
        <v>6.9494311502348999E-3</v>
      </c>
      <c r="N140">
        <v>109.15311239316399</v>
      </c>
      <c r="O140" s="23">
        <v>9.9999999999999903E-8</v>
      </c>
      <c r="P140">
        <v>113.15311239316399</v>
      </c>
      <c r="R140" t="s">
        <v>21</v>
      </c>
      <c r="S140" t="s">
        <v>198</v>
      </c>
      <c r="T140">
        <v>37.4497579659647</v>
      </c>
      <c r="U140">
        <v>10.3933234729085</v>
      </c>
      <c r="V140">
        <v>6.9494104513420397E-3</v>
      </c>
      <c r="W140">
        <v>109.153124798715</v>
      </c>
      <c r="X140">
        <v>4.23336542499095</v>
      </c>
      <c r="Y140">
        <v>113.153124798715</v>
      </c>
      <c r="AA140" t="str">
        <f t="shared" si="4"/>
        <v xml:space="preserve">P &amp; OU </v>
      </c>
      <c r="AC140">
        <f t="shared" si="5"/>
        <v>6.9494104513420397E-3</v>
      </c>
    </row>
    <row r="141" spans="1:29" x14ac:dyDescent="0.2">
      <c r="A141" t="s">
        <v>21</v>
      </c>
      <c r="B141" t="s">
        <v>199</v>
      </c>
      <c r="C141">
        <v>4.6350567967499102E-3</v>
      </c>
      <c r="D141">
        <v>1.59921917613763</v>
      </c>
      <c r="E141">
        <v>0.99775844470968</v>
      </c>
      <c r="F141">
        <v>116.846188780094</v>
      </c>
      <c r="G141">
        <v>120.846188780094</v>
      </c>
      <c r="I141" t="s">
        <v>21</v>
      </c>
      <c r="J141" t="s">
        <v>199</v>
      </c>
      <c r="K141">
        <v>-0.438744893397359</v>
      </c>
      <c r="L141">
        <v>1.47002060001585</v>
      </c>
      <c r="M141">
        <v>0.77295605618210195</v>
      </c>
      <c r="N141">
        <v>115.941563157806</v>
      </c>
      <c r="O141">
        <v>0.54128507965249895</v>
      </c>
      <c r="P141">
        <v>119.941563157806</v>
      </c>
      <c r="R141" t="s">
        <v>21</v>
      </c>
      <c r="S141" t="s">
        <v>199</v>
      </c>
      <c r="T141">
        <v>-0.63013389251100405</v>
      </c>
      <c r="U141">
        <v>1.6321577620802501</v>
      </c>
      <c r="V141">
        <v>0.70950649493484697</v>
      </c>
      <c r="W141">
        <v>117.111056910727</v>
      </c>
      <c r="X141">
        <v>0.17416144523635699</v>
      </c>
      <c r="Y141">
        <v>121.111056910727</v>
      </c>
      <c r="AA141" t="str">
        <f t="shared" si="4"/>
        <v xml:space="preserve"> </v>
      </c>
      <c r="AC141">
        <f t="shared" si="5"/>
        <v>0.70950649493484697</v>
      </c>
    </row>
    <row r="142" spans="1:29" x14ac:dyDescent="0.2">
      <c r="A142" t="s">
        <v>21</v>
      </c>
      <c r="B142" t="s">
        <v>200</v>
      </c>
      <c r="C142">
        <v>5.4704009878294197</v>
      </c>
      <c r="D142">
        <v>1.75045354298932</v>
      </c>
      <c r="E142">
        <v>1.41187136527959E-2</v>
      </c>
      <c r="F142">
        <v>108.867490976654</v>
      </c>
      <c r="G142">
        <v>112.867490976654</v>
      </c>
      <c r="I142" t="s">
        <v>21</v>
      </c>
      <c r="J142" t="s">
        <v>200</v>
      </c>
      <c r="K142">
        <v>3.9911209982149201</v>
      </c>
      <c r="L142">
        <v>0.81151957877202097</v>
      </c>
      <c r="M142">
        <v>1.1668295761235799E-3</v>
      </c>
      <c r="N142">
        <v>104.874636214774</v>
      </c>
      <c r="O142" s="23">
        <v>9.9999999999999903E-8</v>
      </c>
      <c r="P142">
        <v>108.874636214774</v>
      </c>
      <c r="R142" t="s">
        <v>21</v>
      </c>
      <c r="S142" t="s">
        <v>200</v>
      </c>
      <c r="T142">
        <v>4.0224084753627301</v>
      </c>
      <c r="U142">
        <v>0.81488067039016698</v>
      </c>
      <c r="V142">
        <v>1.1405127353596399E-3</v>
      </c>
      <c r="W142">
        <v>104.847120363177</v>
      </c>
      <c r="X142">
        <v>1.05987135914971</v>
      </c>
      <c r="Y142">
        <v>108.847120363177</v>
      </c>
      <c r="AA142" t="str">
        <f t="shared" si="4"/>
        <v xml:space="preserve">P &amp; OU </v>
      </c>
      <c r="AC142">
        <f t="shared" si="5"/>
        <v>1.1405127353596399E-3</v>
      </c>
    </row>
    <row r="143" spans="1:29" x14ac:dyDescent="0.2">
      <c r="A143" t="s">
        <v>21</v>
      </c>
      <c r="B143" t="s">
        <v>201</v>
      </c>
      <c r="C143">
        <v>3.5888591037464397E-2</v>
      </c>
      <c r="D143">
        <v>0.33875449954993297</v>
      </c>
      <c r="E143">
        <v>0.91823610072058903</v>
      </c>
      <c r="F143">
        <v>116.832179274141</v>
      </c>
      <c r="G143">
        <v>120.832179274141</v>
      </c>
      <c r="I143" t="s">
        <v>21</v>
      </c>
      <c r="J143" t="s">
        <v>201</v>
      </c>
      <c r="K143">
        <v>-7.9381138207741397E-2</v>
      </c>
      <c r="L143">
        <v>0.308217243281731</v>
      </c>
      <c r="M143">
        <v>0.80325574514401898</v>
      </c>
      <c r="N143">
        <v>115.957675455494</v>
      </c>
      <c r="O143">
        <v>0.574007293895335</v>
      </c>
      <c r="P143">
        <v>119.957675455494</v>
      </c>
      <c r="R143" t="s">
        <v>21</v>
      </c>
      <c r="S143" t="s">
        <v>201</v>
      </c>
      <c r="T143">
        <v>-1.7125887037734901E-2</v>
      </c>
      <c r="U143">
        <v>0.34652884812951501</v>
      </c>
      <c r="V143">
        <v>0.96179520154495701</v>
      </c>
      <c r="W143">
        <v>117.253406973331</v>
      </c>
      <c r="X143">
        <v>0.14555473367027599</v>
      </c>
      <c r="Y143">
        <v>121.253406973331</v>
      </c>
      <c r="AA143" t="str">
        <f t="shared" si="4"/>
        <v xml:space="preserve"> </v>
      </c>
      <c r="AC143">
        <f t="shared" si="5"/>
        <v>0.80325574514401898</v>
      </c>
    </row>
    <row r="144" spans="1:29" x14ac:dyDescent="0.2">
      <c r="A144" t="s">
        <v>21</v>
      </c>
      <c r="B144" t="s">
        <v>202</v>
      </c>
      <c r="C144">
        <v>37.032505428300297</v>
      </c>
      <c r="D144">
        <v>12.5919037256227</v>
      </c>
      <c r="E144">
        <v>1.86816878736808E-2</v>
      </c>
      <c r="F144">
        <v>109.51690376964901</v>
      </c>
      <c r="G144">
        <v>113.51690376964901</v>
      </c>
      <c r="I144" t="s">
        <v>21</v>
      </c>
      <c r="J144" t="s">
        <v>202</v>
      </c>
      <c r="K144">
        <v>25.3443983977266</v>
      </c>
      <c r="L144">
        <v>5.5024905124213799</v>
      </c>
      <c r="M144">
        <v>1.74177197412896E-3</v>
      </c>
      <c r="N144">
        <v>105.84357011667799</v>
      </c>
      <c r="O144" s="23">
        <v>9.9999999999999903E-8</v>
      </c>
      <c r="P144">
        <v>109.84357011667799</v>
      </c>
      <c r="R144" t="s">
        <v>21</v>
      </c>
      <c r="S144" t="s">
        <v>202</v>
      </c>
      <c r="T144">
        <v>25.617112036011399</v>
      </c>
      <c r="U144">
        <v>5.5402044869217004</v>
      </c>
      <c r="V144">
        <v>1.7016199196840599E-3</v>
      </c>
      <c r="W144">
        <v>105.815410251979</v>
      </c>
      <c r="X144">
        <v>1.02013767027147</v>
      </c>
      <c r="Y144">
        <v>109.815410251979</v>
      </c>
      <c r="AA144" t="str">
        <f t="shared" si="4"/>
        <v xml:space="preserve">P &amp; OU </v>
      </c>
      <c r="AC144">
        <f t="shared" si="5"/>
        <v>1.7016199196840599E-3</v>
      </c>
    </row>
    <row r="145" spans="1:29" x14ac:dyDescent="0.2">
      <c r="A145" t="s">
        <v>21</v>
      </c>
      <c r="B145" t="s">
        <v>203</v>
      </c>
      <c r="C145">
        <v>-1.4125763890256901E-2</v>
      </c>
      <c r="D145">
        <v>4.03815868754588E-2</v>
      </c>
      <c r="E145">
        <v>0.73551400210353302</v>
      </c>
      <c r="F145">
        <v>116.69440104982399</v>
      </c>
      <c r="G145">
        <v>120.69440104982399</v>
      </c>
      <c r="I145" t="s">
        <v>21</v>
      </c>
      <c r="J145" t="s">
        <v>203</v>
      </c>
      <c r="K145">
        <v>-4.4092748970313199E-2</v>
      </c>
      <c r="L145">
        <v>3.3723026756168901E-2</v>
      </c>
      <c r="M145">
        <v>0.227367164517953</v>
      </c>
      <c r="N145">
        <v>114.949733963258</v>
      </c>
      <c r="O145">
        <v>0.23715058627719901</v>
      </c>
      <c r="P145">
        <v>118.949733963258</v>
      </c>
      <c r="R145" t="s">
        <v>21</v>
      </c>
      <c r="S145" t="s">
        <v>203</v>
      </c>
      <c r="T145">
        <v>-6.08748314666386E-2</v>
      </c>
      <c r="U145">
        <v>3.1629377124892201E-2</v>
      </c>
      <c r="V145">
        <v>9.0467218826868701E-2</v>
      </c>
      <c r="W145">
        <v>114.99097499954399</v>
      </c>
      <c r="X145">
        <v>4.23336542499095</v>
      </c>
      <c r="Y145">
        <v>118.99097499954399</v>
      </c>
      <c r="AA145" t="str">
        <f t="shared" si="4"/>
        <v xml:space="preserve"> </v>
      </c>
      <c r="AC145">
        <f t="shared" si="5"/>
        <v>9.0467218826868701E-2</v>
      </c>
    </row>
    <row r="146" spans="1:29" x14ac:dyDescent="0.2">
      <c r="A146" t="s">
        <v>21</v>
      </c>
      <c r="B146" t="s">
        <v>204</v>
      </c>
      <c r="C146">
        <v>71.058758962926902</v>
      </c>
      <c r="D146">
        <v>38.5004280369226</v>
      </c>
      <c r="E146">
        <v>0.102154431346869</v>
      </c>
      <c r="F146">
        <v>113.298810393701</v>
      </c>
      <c r="G146">
        <v>117.298810393701</v>
      </c>
      <c r="I146" t="s">
        <v>21</v>
      </c>
      <c r="J146" t="s">
        <v>204</v>
      </c>
      <c r="K146">
        <v>103.99636881882201</v>
      </c>
      <c r="L146">
        <v>45.293101894963698</v>
      </c>
      <c r="M146">
        <v>5.0780994983752201E-2</v>
      </c>
      <c r="N146">
        <v>113.733895301761</v>
      </c>
      <c r="O146" s="23">
        <v>1.10657826335434E-7</v>
      </c>
      <c r="P146">
        <v>117.733895301761</v>
      </c>
      <c r="R146" t="s">
        <v>21</v>
      </c>
      <c r="S146" t="s">
        <v>204</v>
      </c>
      <c r="T146">
        <v>94.488741090919206</v>
      </c>
      <c r="U146">
        <v>44.3599343951891</v>
      </c>
      <c r="V146">
        <v>6.5788162468518901E-2</v>
      </c>
      <c r="W146">
        <v>113.392634076847</v>
      </c>
      <c r="X146">
        <v>0.30341128832893999</v>
      </c>
      <c r="Y146">
        <v>117.392634076847</v>
      </c>
      <c r="AA146" t="str">
        <f t="shared" si="4"/>
        <v xml:space="preserve"> </v>
      </c>
      <c r="AC146">
        <f t="shared" si="5"/>
        <v>5.0780994983752201E-2</v>
      </c>
    </row>
    <row r="147" spans="1:29" x14ac:dyDescent="0.2">
      <c r="A147" t="s">
        <v>21</v>
      </c>
      <c r="B147" t="s">
        <v>206</v>
      </c>
      <c r="C147">
        <v>0.84222877587206202</v>
      </c>
      <c r="D147">
        <v>5.4758420310503002</v>
      </c>
      <c r="E147">
        <v>0.88157021055892804</v>
      </c>
      <c r="F147">
        <v>116.816671758399</v>
      </c>
      <c r="G147">
        <v>120.816671758399</v>
      </c>
      <c r="I147" t="s">
        <v>21</v>
      </c>
      <c r="J147" t="s">
        <v>206</v>
      </c>
      <c r="K147">
        <v>0.20342522432386501</v>
      </c>
      <c r="L147">
        <v>4.8990024823112499</v>
      </c>
      <c r="M147">
        <v>0.96789594909398302</v>
      </c>
      <c r="N147">
        <v>116.037745940558</v>
      </c>
      <c r="O147">
        <v>0.58857968167436403</v>
      </c>
      <c r="P147">
        <v>120.037745940558</v>
      </c>
      <c r="R147" t="s">
        <v>21</v>
      </c>
      <c r="S147" t="s">
        <v>206</v>
      </c>
      <c r="T147">
        <v>-0.75693365001970403</v>
      </c>
      <c r="U147">
        <v>5.5014471616198799</v>
      </c>
      <c r="V147">
        <v>0.89396586522896404</v>
      </c>
      <c r="W147">
        <v>117.23680541099399</v>
      </c>
      <c r="X147">
        <v>0.153752646627038</v>
      </c>
      <c r="Y147">
        <v>121.23680541099399</v>
      </c>
      <c r="AA147" t="str">
        <f t="shared" si="4"/>
        <v xml:space="preserve"> </v>
      </c>
      <c r="AC147">
        <f t="shared" si="5"/>
        <v>0.88157021055892804</v>
      </c>
    </row>
    <row r="148" spans="1:29" x14ac:dyDescent="0.2">
      <c r="A148" t="s">
        <v>21</v>
      </c>
      <c r="B148" t="s">
        <v>205</v>
      </c>
      <c r="C148">
        <v>62.848364813803798</v>
      </c>
      <c r="D148">
        <v>96.958493400922706</v>
      </c>
      <c r="E148">
        <v>0.535014077308122</v>
      </c>
      <c r="F148">
        <v>116.33432461882801</v>
      </c>
      <c r="G148">
        <v>120.33432461882801</v>
      </c>
      <c r="I148" t="s">
        <v>21</v>
      </c>
      <c r="J148" t="s">
        <v>205</v>
      </c>
      <c r="K148">
        <v>40.021776872894399</v>
      </c>
      <c r="L148">
        <v>84.741982707071202</v>
      </c>
      <c r="M148">
        <v>0.64934307717497097</v>
      </c>
      <c r="N148">
        <v>115.868244120521</v>
      </c>
      <c r="O148">
        <v>0.46197172303025602</v>
      </c>
      <c r="P148">
        <v>119.868244120521</v>
      </c>
      <c r="R148" t="s">
        <v>21</v>
      </c>
      <c r="S148" t="s">
        <v>205</v>
      </c>
      <c r="T148">
        <v>113.32853511169699</v>
      </c>
      <c r="U148">
        <v>74.508818242482207</v>
      </c>
      <c r="V148">
        <v>0.16674998680157599</v>
      </c>
      <c r="W148">
        <v>115.665195598682</v>
      </c>
      <c r="X148">
        <v>0.375930663284544</v>
      </c>
      <c r="Y148">
        <v>119.665195598682</v>
      </c>
      <c r="AA148" t="str">
        <f t="shared" si="4"/>
        <v xml:space="preserve"> </v>
      </c>
      <c r="AC148">
        <f t="shared" si="5"/>
        <v>0.16674998680157599</v>
      </c>
    </row>
    <row r="149" spans="1:29" x14ac:dyDescent="0.2">
      <c r="A149" t="s">
        <v>21</v>
      </c>
      <c r="B149" t="s">
        <v>207</v>
      </c>
      <c r="C149">
        <v>-0.70286814564803701</v>
      </c>
      <c r="D149">
        <v>0.32214002186542301</v>
      </c>
      <c r="E149">
        <v>6.0685153421463599E-2</v>
      </c>
      <c r="F149">
        <v>112.17702037793001</v>
      </c>
      <c r="G149">
        <v>116.17702037793001</v>
      </c>
      <c r="I149" t="s">
        <v>21</v>
      </c>
      <c r="J149" t="s">
        <v>207</v>
      </c>
      <c r="K149">
        <v>-0.58173043480720299</v>
      </c>
      <c r="L149">
        <v>0.34237465961462898</v>
      </c>
      <c r="M149">
        <v>0.12772579775558501</v>
      </c>
      <c r="N149">
        <v>114.011727456774</v>
      </c>
      <c r="O149">
        <v>0.89058556707881098</v>
      </c>
      <c r="P149">
        <v>118.011727456774</v>
      </c>
      <c r="R149" t="s">
        <v>21</v>
      </c>
      <c r="S149" t="s">
        <v>207</v>
      </c>
      <c r="T149">
        <v>-0.66326885125208601</v>
      </c>
      <c r="U149">
        <v>0.34106313726191301</v>
      </c>
      <c r="V149">
        <v>8.7706021132063203E-2</v>
      </c>
      <c r="W149">
        <v>113.963140725492</v>
      </c>
      <c r="X149">
        <v>5.28560436469959E-2</v>
      </c>
      <c r="Y149">
        <v>117.963140725492</v>
      </c>
      <c r="AA149" t="str">
        <f t="shared" si="4"/>
        <v xml:space="preserve"> </v>
      </c>
      <c r="AC149">
        <f t="shared" si="5"/>
        <v>6.0685153421463599E-2</v>
      </c>
    </row>
    <row r="150" spans="1:29" x14ac:dyDescent="0.2">
      <c r="A150" t="s">
        <v>21</v>
      </c>
      <c r="B150" t="s">
        <v>208</v>
      </c>
      <c r="C150">
        <v>-51.850178337882703</v>
      </c>
      <c r="D150">
        <v>19.116022961161001</v>
      </c>
      <c r="E150">
        <v>2.6559516049142699E-2</v>
      </c>
      <c r="F150">
        <v>110.324849266591</v>
      </c>
      <c r="G150">
        <v>114.324849266591</v>
      </c>
      <c r="I150" t="s">
        <v>21</v>
      </c>
      <c r="J150" t="s">
        <v>208</v>
      </c>
      <c r="K150">
        <v>-51.850178337882703</v>
      </c>
      <c r="L150">
        <v>19.116022961161001</v>
      </c>
      <c r="M150">
        <v>2.6559516049142699E-2</v>
      </c>
      <c r="N150">
        <v>112.324849266591</v>
      </c>
      <c r="O150">
        <v>1</v>
      </c>
      <c r="P150">
        <v>116.324849266591</v>
      </c>
      <c r="R150" t="s">
        <v>21</v>
      </c>
      <c r="S150" t="s">
        <v>208</v>
      </c>
      <c r="T150">
        <v>-51.850177258486603</v>
      </c>
      <c r="U150">
        <v>19.116023583763798</v>
      </c>
      <c r="V150">
        <v>2.6559522001784901E-2</v>
      </c>
      <c r="W150">
        <v>112.324849383817</v>
      </c>
      <c r="X150" s="23">
        <v>1.63661202115653E-8</v>
      </c>
      <c r="Y150">
        <v>116.324849383817</v>
      </c>
      <c r="AA150" t="str">
        <f t="shared" si="4"/>
        <v xml:space="preserve"> </v>
      </c>
      <c r="AC150">
        <f t="shared" si="5"/>
        <v>2.6559516049142699E-2</v>
      </c>
    </row>
    <row r="151" spans="1:29" x14ac:dyDescent="0.2">
      <c r="A151" t="s">
        <v>21</v>
      </c>
      <c r="B151" t="s">
        <v>209</v>
      </c>
      <c r="C151">
        <v>-5.3562984489545599E-2</v>
      </c>
      <c r="D151">
        <v>0.170100326331561</v>
      </c>
      <c r="E151">
        <v>0.76090117465618301</v>
      </c>
      <c r="F151">
        <v>116.72301604162401</v>
      </c>
      <c r="G151">
        <v>120.72301604162401</v>
      </c>
      <c r="I151" t="s">
        <v>21</v>
      </c>
      <c r="J151" t="s">
        <v>209</v>
      </c>
      <c r="K151">
        <v>-7.5849682788207098E-2</v>
      </c>
      <c r="L151">
        <v>0.16725444398580699</v>
      </c>
      <c r="M151">
        <v>0.66223811028748503</v>
      </c>
      <c r="N151">
        <v>115.787480982307</v>
      </c>
      <c r="O151">
        <v>0.56797935907903596</v>
      </c>
      <c r="P151">
        <v>119.787480982307</v>
      </c>
      <c r="R151" t="s">
        <v>21</v>
      </c>
      <c r="S151" t="s">
        <v>209</v>
      </c>
      <c r="T151">
        <v>-7.9774079969598496E-2</v>
      </c>
      <c r="U151">
        <v>0.182851117375053</v>
      </c>
      <c r="V151">
        <v>0.67416880940152302</v>
      </c>
      <c r="W151">
        <v>117.026090093338</v>
      </c>
      <c r="X151">
        <v>0.15461537660142899</v>
      </c>
      <c r="Y151">
        <v>121.026090093338</v>
      </c>
      <c r="AA151" t="str">
        <f t="shared" si="4"/>
        <v xml:space="preserve"> </v>
      </c>
      <c r="AC151">
        <f t="shared" si="5"/>
        <v>0.66223811028748503</v>
      </c>
    </row>
    <row r="152" spans="1:29" x14ac:dyDescent="0.2">
      <c r="A152" t="s">
        <v>21</v>
      </c>
      <c r="B152" t="s">
        <v>210</v>
      </c>
      <c r="C152">
        <v>41.526680556771197</v>
      </c>
      <c r="D152">
        <v>33.275597013499997</v>
      </c>
      <c r="E152">
        <v>0.24733294274274301</v>
      </c>
      <c r="F152">
        <v>115.067447887854</v>
      </c>
      <c r="G152">
        <v>119.067447887854</v>
      </c>
      <c r="I152" t="s">
        <v>21</v>
      </c>
      <c r="J152" t="s">
        <v>210</v>
      </c>
      <c r="K152">
        <v>21.509535568770399</v>
      </c>
      <c r="L152">
        <v>39.229504741211997</v>
      </c>
      <c r="M152">
        <v>0.59844882062910298</v>
      </c>
      <c r="N152">
        <v>115.715817079985</v>
      </c>
      <c r="O152">
        <v>0.65850741618440001</v>
      </c>
      <c r="P152">
        <v>119.715817079985</v>
      </c>
      <c r="R152" t="s">
        <v>21</v>
      </c>
      <c r="S152" t="s">
        <v>210</v>
      </c>
      <c r="T152">
        <v>34.987092607733501</v>
      </c>
      <c r="U152">
        <v>37.124739039675603</v>
      </c>
      <c r="V152">
        <v>0.37356228308159101</v>
      </c>
      <c r="W152">
        <v>116.359956226649</v>
      </c>
      <c r="X152">
        <v>9.41167014369267E-2</v>
      </c>
      <c r="Y152">
        <v>120.359956226649</v>
      </c>
      <c r="AA152" t="str">
        <f t="shared" si="4"/>
        <v xml:space="preserve"> </v>
      </c>
      <c r="AC152">
        <f t="shared" si="5"/>
        <v>0.24733294274274301</v>
      </c>
    </row>
    <row r="153" spans="1:29" x14ac:dyDescent="0.2">
      <c r="A153" t="s">
        <v>21</v>
      </c>
      <c r="B153" t="s">
        <v>4</v>
      </c>
      <c r="C153">
        <v>29.580500971687801</v>
      </c>
      <c r="D153">
        <v>34.236693152279798</v>
      </c>
      <c r="E153">
        <v>0.41274201122272602</v>
      </c>
      <c r="F153">
        <v>115.95408317734901</v>
      </c>
      <c r="G153">
        <v>119.95408317734901</v>
      </c>
      <c r="I153" t="s">
        <v>21</v>
      </c>
      <c r="J153" t="s">
        <v>4</v>
      </c>
      <c r="K153">
        <v>26.751300157498399</v>
      </c>
      <c r="L153">
        <v>33.174479042733097</v>
      </c>
      <c r="M153">
        <v>0.44333163942098902</v>
      </c>
      <c r="N153">
        <v>115.31427225967499</v>
      </c>
      <c r="O153">
        <v>0.66693569502639505</v>
      </c>
      <c r="P153">
        <v>119.31427225967499</v>
      </c>
      <c r="R153" t="s">
        <v>21</v>
      </c>
      <c r="S153" t="s">
        <v>4</v>
      </c>
      <c r="T153">
        <v>24.780637019253401</v>
      </c>
      <c r="U153">
        <v>36.4652851857334</v>
      </c>
      <c r="V153">
        <v>0.515955462150126</v>
      </c>
      <c r="W153">
        <v>116.74540801285799</v>
      </c>
      <c r="X153">
        <v>0.11503080720112401</v>
      </c>
      <c r="Y153">
        <v>120.74540801285799</v>
      </c>
      <c r="AA153" t="str">
        <f t="shared" si="4"/>
        <v xml:space="preserve"> </v>
      </c>
      <c r="AC153">
        <f t="shared" si="5"/>
        <v>0.41274201122272602</v>
      </c>
    </row>
    <row r="154" spans="1:29" x14ac:dyDescent="0.2">
      <c r="A154" t="s">
        <v>21</v>
      </c>
      <c r="B154" t="s">
        <v>3</v>
      </c>
      <c r="C154">
        <v>-308.37280409985499</v>
      </c>
      <c r="D154">
        <v>355.52877299829902</v>
      </c>
      <c r="E154">
        <v>0.41100321772047299</v>
      </c>
      <c r="F154">
        <v>115.947426568129</v>
      </c>
      <c r="G154">
        <v>119.947426568129</v>
      </c>
      <c r="I154" t="s">
        <v>21</v>
      </c>
      <c r="J154" t="s">
        <v>3</v>
      </c>
      <c r="K154">
        <v>-245.43007863179599</v>
      </c>
      <c r="L154">
        <v>340.30427669378599</v>
      </c>
      <c r="M154">
        <v>0.49131803206125702</v>
      </c>
      <c r="N154">
        <v>115.485748274521</v>
      </c>
      <c r="O154">
        <v>0.68013288606670896</v>
      </c>
      <c r="P154">
        <v>119.485748274521</v>
      </c>
      <c r="R154" t="s">
        <v>21</v>
      </c>
      <c r="S154" t="s">
        <v>3</v>
      </c>
      <c r="T154">
        <v>-227.84028276627899</v>
      </c>
      <c r="U154">
        <v>374.19782583807302</v>
      </c>
      <c r="V154">
        <v>0.55949474296100099</v>
      </c>
      <c r="W154">
        <v>116.87794261200899</v>
      </c>
      <c r="X154">
        <v>0.10892617285258201</v>
      </c>
      <c r="Y154">
        <v>120.87794261200899</v>
      </c>
      <c r="AA154" t="str">
        <f t="shared" si="4"/>
        <v xml:space="preserve"> </v>
      </c>
      <c r="AC154">
        <f t="shared" si="5"/>
        <v>0.41100321772047299</v>
      </c>
    </row>
    <row r="155" spans="1:29" x14ac:dyDescent="0.2">
      <c r="A155" t="s">
        <v>21</v>
      </c>
      <c r="B155" t="s">
        <v>211</v>
      </c>
      <c r="C155">
        <v>108.393264689996</v>
      </c>
      <c r="D155">
        <v>51.168414193497597</v>
      </c>
      <c r="E155">
        <v>6.6995699365047304E-2</v>
      </c>
      <c r="F155">
        <v>112.39336455820801</v>
      </c>
      <c r="G155">
        <v>116.39336455820801</v>
      </c>
      <c r="I155" t="s">
        <v>21</v>
      </c>
      <c r="J155" t="s">
        <v>211</v>
      </c>
      <c r="K155">
        <v>108.393264689996</v>
      </c>
      <c r="L155">
        <v>51.168414193497597</v>
      </c>
      <c r="M155">
        <v>6.6995699365047304E-2</v>
      </c>
      <c r="N155">
        <v>114.39336455820801</v>
      </c>
      <c r="O155">
        <v>1</v>
      </c>
      <c r="P155">
        <v>118.39336455820801</v>
      </c>
      <c r="R155" t="s">
        <v>21</v>
      </c>
      <c r="S155" t="s">
        <v>211</v>
      </c>
      <c r="T155">
        <v>106.400134758091</v>
      </c>
      <c r="U155">
        <v>56.4316763816269</v>
      </c>
      <c r="V155">
        <v>9.6093743541960805E-2</v>
      </c>
      <c r="W155">
        <v>114.174092248395</v>
      </c>
      <c r="X155">
        <v>5.1686404323386101E-2</v>
      </c>
      <c r="Y155">
        <v>118.174092248395</v>
      </c>
      <c r="AA155" t="str">
        <f t="shared" si="4"/>
        <v xml:space="preserve"> </v>
      </c>
      <c r="AC155">
        <f t="shared" si="5"/>
        <v>6.6995699365047304E-2</v>
      </c>
    </row>
    <row r="156" spans="1:29" x14ac:dyDescent="0.2">
      <c r="A156" t="s">
        <v>21</v>
      </c>
      <c r="B156" t="s">
        <v>212</v>
      </c>
      <c r="C156">
        <v>-137.498514704748</v>
      </c>
      <c r="D156">
        <v>149.74566079399901</v>
      </c>
      <c r="E156">
        <v>0.38535390126462998</v>
      </c>
      <c r="F156">
        <v>115.844221249309</v>
      </c>
      <c r="G156">
        <v>119.844221249309</v>
      </c>
      <c r="I156" t="s">
        <v>21</v>
      </c>
      <c r="J156" t="s">
        <v>212</v>
      </c>
      <c r="K156">
        <v>-112.215129031106</v>
      </c>
      <c r="L156">
        <v>142.348405415222</v>
      </c>
      <c r="M156">
        <v>0.45323723673626798</v>
      </c>
      <c r="N156">
        <v>115.29264222088599</v>
      </c>
      <c r="O156">
        <v>0.59492394970304496</v>
      </c>
      <c r="P156">
        <v>119.29264222088599</v>
      </c>
      <c r="R156" t="s">
        <v>21</v>
      </c>
      <c r="S156" t="s">
        <v>212</v>
      </c>
      <c r="T156">
        <v>-125.753005822101</v>
      </c>
      <c r="U156">
        <v>157.23546125314101</v>
      </c>
      <c r="V156">
        <v>0.44693637166689698</v>
      </c>
      <c r="W156">
        <v>116.495018517475</v>
      </c>
      <c r="X156">
        <v>0.13264893090224</v>
      </c>
      <c r="Y156">
        <v>120.495018517475</v>
      </c>
      <c r="AA156" t="str">
        <f t="shared" si="4"/>
        <v xml:space="preserve"> </v>
      </c>
      <c r="AC156">
        <f t="shared" si="5"/>
        <v>0.38535390126462998</v>
      </c>
    </row>
    <row r="157" spans="1:29" x14ac:dyDescent="0.2">
      <c r="A157" t="s">
        <v>21</v>
      </c>
      <c r="B157" t="s">
        <v>213</v>
      </c>
      <c r="C157">
        <v>176.48981031782901</v>
      </c>
      <c r="D157">
        <v>125.371325531894</v>
      </c>
      <c r="E157">
        <v>0.196858273997743</v>
      </c>
      <c r="F157">
        <v>114.63305800390999</v>
      </c>
      <c r="G157">
        <v>118.63305800390999</v>
      </c>
      <c r="I157" t="s">
        <v>21</v>
      </c>
      <c r="J157" t="s">
        <v>213</v>
      </c>
      <c r="K157">
        <v>88.469593421993096</v>
      </c>
      <c r="L157">
        <v>151.18153509839101</v>
      </c>
      <c r="M157">
        <v>0.57455201912917897</v>
      </c>
      <c r="N157">
        <v>115.620804219127</v>
      </c>
      <c r="O157">
        <v>0.57664314685734497</v>
      </c>
      <c r="P157">
        <v>119.620804219127</v>
      </c>
      <c r="R157" t="s">
        <v>21</v>
      </c>
      <c r="S157" t="s">
        <v>213</v>
      </c>
      <c r="T157">
        <v>181.201535526962</v>
      </c>
      <c r="U157">
        <v>139.11738324369</v>
      </c>
      <c r="V157">
        <v>0.22898599028057701</v>
      </c>
      <c r="W157">
        <v>115.345688438606</v>
      </c>
      <c r="X157">
        <v>0.16090415119599599</v>
      </c>
      <c r="Y157">
        <v>119.345688438606</v>
      </c>
      <c r="AA157" t="str">
        <f t="shared" si="4"/>
        <v xml:space="preserve"> </v>
      </c>
      <c r="AC157">
        <f t="shared" si="5"/>
        <v>0.196858273997743</v>
      </c>
    </row>
    <row r="158" spans="1:29" x14ac:dyDescent="0.2">
      <c r="A158" t="s">
        <v>21</v>
      </c>
      <c r="B158" t="s">
        <v>214</v>
      </c>
      <c r="C158">
        <v>0.42747451781003698</v>
      </c>
      <c r="D158">
        <v>0.31922590548073299</v>
      </c>
      <c r="E158">
        <v>0.21733781121009299</v>
      </c>
      <c r="F158">
        <v>114.823751094234</v>
      </c>
      <c r="G158">
        <v>118.823751094234</v>
      </c>
      <c r="I158" t="s">
        <v>21</v>
      </c>
      <c r="J158" t="s">
        <v>214</v>
      </c>
      <c r="K158">
        <v>0.12804330982252601</v>
      </c>
      <c r="L158">
        <v>0.37991861797197501</v>
      </c>
      <c r="M158">
        <v>0.74476715927457704</v>
      </c>
      <c r="N158">
        <v>115.909011405507</v>
      </c>
      <c r="O158">
        <v>0.61968124931170399</v>
      </c>
      <c r="P158">
        <v>119.909011405507</v>
      </c>
      <c r="R158" t="s">
        <v>21</v>
      </c>
      <c r="S158" t="s">
        <v>214</v>
      </c>
      <c r="T158">
        <v>0.37339842259780098</v>
      </c>
      <c r="U158">
        <v>0.35630971696083702</v>
      </c>
      <c r="V158">
        <v>0.32528276391161498</v>
      </c>
      <c r="W158">
        <v>116.044148584807</v>
      </c>
      <c r="X158">
        <v>0.109020778895346</v>
      </c>
      <c r="Y158">
        <v>120.044148584807</v>
      </c>
      <c r="AA158" t="str">
        <f t="shared" si="4"/>
        <v xml:space="preserve"> </v>
      </c>
      <c r="AC158">
        <f t="shared" si="5"/>
        <v>0.21733781121009299</v>
      </c>
    </row>
    <row r="159" spans="1:29" x14ac:dyDescent="0.2">
      <c r="A159" t="s">
        <v>21</v>
      </c>
      <c r="B159" t="s">
        <v>215</v>
      </c>
      <c r="C159">
        <v>-3.65078860748054</v>
      </c>
      <c r="D159">
        <v>64.759953727980601</v>
      </c>
      <c r="E159">
        <v>0.95642629102305199</v>
      </c>
      <c r="F159">
        <v>116.84222751056799</v>
      </c>
      <c r="G159">
        <v>120.84222751056799</v>
      </c>
      <c r="I159" t="s">
        <v>21</v>
      </c>
      <c r="J159" t="s">
        <v>215</v>
      </c>
      <c r="K159">
        <v>99.199724558446604</v>
      </c>
      <c r="L159">
        <v>48.530006846714102</v>
      </c>
      <c r="M159">
        <v>7.5194896403949593E-2</v>
      </c>
      <c r="N159">
        <v>114.593870279052</v>
      </c>
      <c r="O159" s="23">
        <v>9.9999999999999903E-8</v>
      </c>
      <c r="P159">
        <v>118.593870279052</v>
      </c>
      <c r="R159" t="s">
        <v>21</v>
      </c>
      <c r="S159" t="s">
        <v>215</v>
      </c>
      <c r="T159">
        <v>99.199632695525906</v>
      </c>
      <c r="U159">
        <v>48.530192402846701</v>
      </c>
      <c r="V159">
        <v>7.5196029647795398E-2</v>
      </c>
      <c r="W159">
        <v>114.59392232127399</v>
      </c>
      <c r="X159">
        <v>4.23336542499095</v>
      </c>
      <c r="Y159">
        <v>118.59392232127399</v>
      </c>
      <c r="AA159" t="str">
        <f t="shared" si="4"/>
        <v xml:space="preserve">P &amp; OU </v>
      </c>
      <c r="AC159">
        <f t="shared" si="5"/>
        <v>7.5194896403949593E-2</v>
      </c>
    </row>
    <row r="160" spans="1:29" x14ac:dyDescent="0.2">
      <c r="A160" t="s">
        <v>21</v>
      </c>
      <c r="B160" t="s">
        <v>25</v>
      </c>
      <c r="C160">
        <v>0.162537859777803</v>
      </c>
      <c r="D160">
        <v>0.15643250677304399</v>
      </c>
      <c r="E160">
        <v>0.32917267961441898</v>
      </c>
      <c r="F160">
        <v>115.58033469660499</v>
      </c>
      <c r="G160">
        <v>119.58033469660499</v>
      </c>
      <c r="I160" t="s">
        <v>21</v>
      </c>
      <c r="J160" t="s">
        <v>25</v>
      </c>
      <c r="K160">
        <v>2.53479224604636E-2</v>
      </c>
      <c r="L160">
        <v>0.18625113340497601</v>
      </c>
      <c r="M160">
        <v>0.89510823266912098</v>
      </c>
      <c r="N160">
        <v>116.019654694595</v>
      </c>
      <c r="O160">
        <v>0.60322705614990801</v>
      </c>
      <c r="P160">
        <v>120.019654694595</v>
      </c>
      <c r="R160" t="s">
        <v>21</v>
      </c>
      <c r="S160" t="s">
        <v>25</v>
      </c>
      <c r="T160">
        <v>0.120908655469812</v>
      </c>
      <c r="U160">
        <v>0.17429433715656201</v>
      </c>
      <c r="V160">
        <v>0.50750621538313301</v>
      </c>
      <c r="W160">
        <v>116.77449881603999</v>
      </c>
      <c r="X160">
        <v>0.10319820623671</v>
      </c>
      <c r="Y160">
        <v>120.77449881603999</v>
      </c>
      <c r="AA160" t="str">
        <f t="shared" si="4"/>
        <v xml:space="preserve"> </v>
      </c>
      <c r="AC160">
        <f t="shared" si="5"/>
        <v>0.32917267961441898</v>
      </c>
    </row>
    <row r="161" spans="1:29" x14ac:dyDescent="0.2">
      <c r="A161" t="s">
        <v>21</v>
      </c>
      <c r="B161" t="s">
        <v>24</v>
      </c>
      <c r="C161">
        <v>32.084004637015298</v>
      </c>
      <c r="D161">
        <v>84.637780259390794</v>
      </c>
      <c r="E161">
        <v>0.71449602824855296</v>
      </c>
      <c r="F161">
        <v>116.66817178949699</v>
      </c>
      <c r="G161">
        <v>120.66817178949699</v>
      </c>
      <c r="I161" t="s">
        <v>21</v>
      </c>
      <c r="J161" t="s">
        <v>24</v>
      </c>
      <c r="K161">
        <v>-10.3047036762167</v>
      </c>
      <c r="L161">
        <v>77.471868976239307</v>
      </c>
      <c r="M161">
        <v>0.89746863930809095</v>
      </c>
      <c r="N161">
        <v>116.02238517519901</v>
      </c>
      <c r="O161">
        <v>0.55731656635383697</v>
      </c>
      <c r="P161">
        <v>120.02238517519901</v>
      </c>
      <c r="R161" t="s">
        <v>21</v>
      </c>
      <c r="S161" t="s">
        <v>24</v>
      </c>
      <c r="T161">
        <v>-20.762440917099099</v>
      </c>
      <c r="U161">
        <v>84.085349257109101</v>
      </c>
      <c r="V161">
        <v>0.81118775223363204</v>
      </c>
      <c r="W161">
        <v>117.209191614738</v>
      </c>
      <c r="X161">
        <v>0.16965948117423399</v>
      </c>
      <c r="Y161">
        <v>121.209191614738</v>
      </c>
      <c r="AA161" t="str">
        <f t="shared" si="4"/>
        <v xml:space="preserve"> </v>
      </c>
      <c r="AC161">
        <f t="shared" si="5"/>
        <v>0.71449602824855296</v>
      </c>
    </row>
    <row r="162" spans="1:29" x14ac:dyDescent="0.2">
      <c r="A162" t="s">
        <v>21</v>
      </c>
      <c r="B162" t="s">
        <v>23</v>
      </c>
      <c r="C162">
        <v>1.0012136037841499</v>
      </c>
      <c r="D162">
        <v>14.791739191452001</v>
      </c>
      <c r="E162">
        <v>0.94769566525315996</v>
      </c>
      <c r="F162">
        <v>116.840473948319</v>
      </c>
      <c r="G162">
        <v>120.840473948319</v>
      </c>
      <c r="I162" t="s">
        <v>21</v>
      </c>
      <c r="J162" t="s">
        <v>23</v>
      </c>
      <c r="K162">
        <v>5.8774624300864398</v>
      </c>
      <c r="L162">
        <v>13.3476370700972</v>
      </c>
      <c r="M162">
        <v>0.67134794030688305</v>
      </c>
      <c r="N162">
        <v>115.834014934107</v>
      </c>
      <c r="O162">
        <v>0.51439299534843397</v>
      </c>
      <c r="P162">
        <v>119.834014934107</v>
      </c>
      <c r="R162" t="s">
        <v>21</v>
      </c>
      <c r="S162" t="s">
        <v>23</v>
      </c>
      <c r="T162">
        <v>8.36741114398842</v>
      </c>
      <c r="U162">
        <v>14.6840200373257</v>
      </c>
      <c r="V162">
        <v>0.58443474524883599</v>
      </c>
      <c r="W162">
        <v>116.946720471444</v>
      </c>
      <c r="X162">
        <v>0.19042339895346699</v>
      </c>
      <c r="Y162">
        <v>120.946720471444</v>
      </c>
      <c r="AA162" t="str">
        <f t="shared" si="4"/>
        <v xml:space="preserve"> </v>
      </c>
      <c r="AC162">
        <f t="shared" si="5"/>
        <v>0.58443474524883599</v>
      </c>
    </row>
    <row r="163" spans="1:29" x14ac:dyDescent="0.2">
      <c r="A163" t="s">
        <v>21</v>
      </c>
      <c r="B163" t="s">
        <v>220</v>
      </c>
      <c r="C163">
        <v>5.7188060772400198E-2</v>
      </c>
      <c r="D163">
        <v>6.7601051731707995E-2</v>
      </c>
      <c r="E163">
        <v>0.42215349507912198</v>
      </c>
      <c r="F163">
        <v>115.98940612218</v>
      </c>
      <c r="G163">
        <v>119.98940612218</v>
      </c>
      <c r="I163" t="s">
        <v>21</v>
      </c>
      <c r="J163" t="s">
        <v>220</v>
      </c>
      <c r="K163">
        <v>9.30344535261385E-3</v>
      </c>
      <c r="L163">
        <v>6.6189288911102401E-2</v>
      </c>
      <c r="M163">
        <v>0.89169364321308198</v>
      </c>
      <c r="N163">
        <v>116.022575218993</v>
      </c>
      <c r="O163">
        <v>0.61445633831495605</v>
      </c>
      <c r="P163">
        <v>120.022575218993</v>
      </c>
      <c r="R163" t="s">
        <v>21</v>
      </c>
      <c r="S163" t="s">
        <v>220</v>
      </c>
      <c r="T163">
        <v>1.9755897787297499E-2</v>
      </c>
      <c r="U163">
        <v>7.0216450701710897E-2</v>
      </c>
      <c r="V163">
        <v>0.78557684076023904</v>
      </c>
      <c r="W163">
        <v>117.205023848652</v>
      </c>
      <c r="X163">
        <v>0.115928311030606</v>
      </c>
      <c r="Y163">
        <v>121.205023848652</v>
      </c>
      <c r="AA163" t="str">
        <f t="shared" si="4"/>
        <v xml:space="preserve"> </v>
      </c>
      <c r="AC163">
        <f t="shared" si="5"/>
        <v>0.42215349507912198</v>
      </c>
    </row>
    <row r="164" spans="1:29" x14ac:dyDescent="0.2">
      <c r="A164" t="s">
        <v>198</v>
      </c>
      <c r="B164" t="s">
        <v>199</v>
      </c>
      <c r="C164">
        <v>2.8071520105283299E-2</v>
      </c>
      <c r="D164">
        <v>2.2539604268236001E-2</v>
      </c>
      <c r="E164">
        <v>0.248213440850511</v>
      </c>
      <c r="F164">
        <v>31.606252328003201</v>
      </c>
      <c r="G164">
        <v>35.606252328003201</v>
      </c>
      <c r="I164" t="s">
        <v>198</v>
      </c>
      <c r="J164" t="s">
        <v>199</v>
      </c>
      <c r="K164">
        <v>2.60649477262343E-2</v>
      </c>
      <c r="L164">
        <v>2.2363723919160701E-2</v>
      </c>
      <c r="M164">
        <v>0.27738757601277098</v>
      </c>
      <c r="N164">
        <v>33.193275515811401</v>
      </c>
      <c r="O164">
        <v>0.92400043108840901</v>
      </c>
      <c r="P164">
        <v>37.193275515811401</v>
      </c>
      <c r="R164" t="s">
        <v>198</v>
      </c>
      <c r="S164" t="s">
        <v>199</v>
      </c>
      <c r="T164">
        <v>2.8071518821037599E-2</v>
      </c>
      <c r="U164">
        <v>2.2539604989700601E-2</v>
      </c>
      <c r="V164">
        <v>0.24821347458948101</v>
      </c>
      <c r="W164">
        <v>33.606252501630699</v>
      </c>
      <c r="X164" s="23">
        <v>2.2195239323688801E-8</v>
      </c>
      <c r="Y164">
        <v>37.606252501630699</v>
      </c>
      <c r="AA164" t="str">
        <f t="shared" si="4"/>
        <v xml:space="preserve"> </v>
      </c>
      <c r="AC164">
        <f t="shared" si="5"/>
        <v>0.248213440850511</v>
      </c>
    </row>
    <row r="165" spans="1:29" x14ac:dyDescent="0.2">
      <c r="A165" t="s">
        <v>198</v>
      </c>
      <c r="B165" t="s">
        <v>200</v>
      </c>
      <c r="C165">
        <v>8.9574411352573699E-2</v>
      </c>
      <c r="D165">
        <v>2.4715580066630698E-2</v>
      </c>
      <c r="E165">
        <v>6.7413543413160004E-3</v>
      </c>
      <c r="F165">
        <v>23.663563295601101</v>
      </c>
      <c r="G165">
        <v>27.663563295601101</v>
      </c>
      <c r="I165" t="s">
        <v>198</v>
      </c>
      <c r="J165" t="s">
        <v>200</v>
      </c>
      <c r="K165">
        <v>9.05972923309077E-2</v>
      </c>
      <c r="L165">
        <v>1.19586460592838E-2</v>
      </c>
      <c r="M165" s="23">
        <v>6.44926378503205E-5</v>
      </c>
      <c r="N165">
        <v>20.525556675986699</v>
      </c>
      <c r="O165" s="23">
        <v>9.9999999999999903E-8</v>
      </c>
      <c r="P165">
        <v>24.525556675986699</v>
      </c>
      <c r="R165" t="s">
        <v>198</v>
      </c>
      <c r="S165" t="s">
        <v>200</v>
      </c>
      <c r="T165">
        <v>9.1101727542671304E-2</v>
      </c>
      <c r="U165">
        <v>1.20790771265907E-2</v>
      </c>
      <c r="V165" s="23">
        <v>6.6575323957056797E-5</v>
      </c>
      <c r="W165">
        <v>20.4484993318821</v>
      </c>
      <c r="X165">
        <v>0.78689626564818105</v>
      </c>
      <c r="Y165">
        <v>24.4484993318821</v>
      </c>
      <c r="AA165" t="str">
        <f t="shared" si="4"/>
        <v xml:space="preserve">P &amp; OU </v>
      </c>
      <c r="AC165">
        <f t="shared" si="5"/>
        <v>6.44926378503205E-5</v>
      </c>
    </row>
    <row r="166" spans="1:29" x14ac:dyDescent="0.2">
      <c r="A166" t="s">
        <v>198</v>
      </c>
      <c r="B166" t="s">
        <v>201</v>
      </c>
      <c r="C166">
        <v>-3.1417194964020599E-3</v>
      </c>
      <c r="D166">
        <v>5.1009275286199402E-3</v>
      </c>
      <c r="E166">
        <v>0.55506758256177102</v>
      </c>
      <c r="F166">
        <v>32.915114006964401</v>
      </c>
      <c r="G166">
        <v>36.915114006964401</v>
      </c>
      <c r="I166" t="s">
        <v>198</v>
      </c>
      <c r="J166" t="s">
        <v>201</v>
      </c>
      <c r="K166">
        <v>-4.0364217665630597E-3</v>
      </c>
      <c r="L166">
        <v>4.9154099554163302E-3</v>
      </c>
      <c r="M166">
        <v>0.435331633127721</v>
      </c>
      <c r="N166">
        <v>33.895079843745798</v>
      </c>
      <c r="O166">
        <v>0.85280735419127396</v>
      </c>
      <c r="P166">
        <v>37.895079843745798</v>
      </c>
      <c r="R166" t="s">
        <v>198</v>
      </c>
      <c r="S166" t="s">
        <v>201</v>
      </c>
      <c r="T166">
        <v>-3.2244005648261699E-3</v>
      </c>
      <c r="U166">
        <v>5.1645646783360696E-3</v>
      </c>
      <c r="V166">
        <v>0.54979569407683804</v>
      </c>
      <c r="W166">
        <v>34.881054955036397</v>
      </c>
      <c r="X166">
        <v>1.5669497369869601E-2</v>
      </c>
      <c r="Y166">
        <v>38.881054955036397</v>
      </c>
      <c r="AA166" t="str">
        <f t="shared" si="4"/>
        <v xml:space="preserve"> </v>
      </c>
      <c r="AC166">
        <f t="shared" si="5"/>
        <v>0.435331633127721</v>
      </c>
    </row>
    <row r="167" spans="1:29" x14ac:dyDescent="0.2">
      <c r="A167" t="s">
        <v>198</v>
      </c>
      <c r="B167" t="s">
        <v>202</v>
      </c>
      <c r="C167">
        <v>0.66049247628241603</v>
      </c>
      <c r="D167">
        <v>0.154035220702677</v>
      </c>
      <c r="E167">
        <v>2.6588007822220898E-3</v>
      </c>
      <c r="F167">
        <v>21.4443429131687</v>
      </c>
      <c r="G167">
        <v>25.4443429131687</v>
      </c>
      <c r="I167" t="s">
        <v>198</v>
      </c>
      <c r="J167" t="s">
        <v>202</v>
      </c>
      <c r="K167">
        <v>0.58973412655129698</v>
      </c>
      <c r="L167">
        <v>7.2855175735349095E-2</v>
      </c>
      <c r="M167" s="23">
        <v>4.0120769335075201E-5</v>
      </c>
      <c r="N167">
        <v>19.353919865059801</v>
      </c>
      <c r="O167" s="23">
        <v>9.9999999999999903E-8</v>
      </c>
      <c r="P167">
        <v>23.353919865059801</v>
      </c>
      <c r="R167" t="s">
        <v>198</v>
      </c>
      <c r="S167" t="s">
        <v>202</v>
      </c>
      <c r="T167">
        <v>0.59886190067858003</v>
      </c>
      <c r="U167">
        <v>7.4757709859981994E-2</v>
      </c>
      <c r="V167" s="23">
        <v>4.3249905612146599E-5</v>
      </c>
      <c r="W167">
        <v>19.101663194582098</v>
      </c>
      <c r="X167">
        <v>0.58180573620389797</v>
      </c>
      <c r="Y167">
        <v>23.101663194582098</v>
      </c>
      <c r="AA167" t="str">
        <f t="shared" si="4"/>
        <v xml:space="preserve">P &amp; OU </v>
      </c>
      <c r="AC167">
        <f t="shared" si="5"/>
        <v>4.0120769335075201E-5</v>
      </c>
    </row>
    <row r="168" spans="1:29" x14ac:dyDescent="0.2">
      <c r="A168" t="s">
        <v>198</v>
      </c>
      <c r="B168" t="s">
        <v>203</v>
      </c>
      <c r="C168">
        <v>7.2111623154093904E-4</v>
      </c>
      <c r="D168">
        <v>5.7240083649139398E-4</v>
      </c>
      <c r="E168">
        <v>0.243246064200898</v>
      </c>
      <c r="F168">
        <v>31.568607438062401</v>
      </c>
      <c r="G168">
        <v>35.568607438062401</v>
      </c>
      <c r="I168" t="s">
        <v>198</v>
      </c>
      <c r="J168" t="s">
        <v>203</v>
      </c>
      <c r="K168">
        <v>6.5212211346040404E-4</v>
      </c>
      <c r="L168">
        <v>5.7060814565444901E-4</v>
      </c>
      <c r="M168">
        <v>0.28614557560716603</v>
      </c>
      <c r="N168">
        <v>33.346165515563598</v>
      </c>
      <c r="O168">
        <v>0.94707865214258602</v>
      </c>
      <c r="P168">
        <v>37.346165515563598</v>
      </c>
      <c r="R168" t="s">
        <v>198</v>
      </c>
      <c r="S168" t="s">
        <v>203</v>
      </c>
      <c r="T168">
        <v>7.2111620733210802E-4</v>
      </c>
      <c r="U168">
        <v>5.72400844246424E-4</v>
      </c>
      <c r="V168">
        <v>0.24324608453464999</v>
      </c>
      <c r="W168">
        <v>33.568607556231498</v>
      </c>
      <c r="X168" s="23">
        <v>8.4667308499818997E-9</v>
      </c>
      <c r="Y168">
        <v>37.568607556231498</v>
      </c>
      <c r="AA168" t="str">
        <f t="shared" si="4"/>
        <v xml:space="preserve"> </v>
      </c>
      <c r="AC168">
        <f t="shared" si="5"/>
        <v>0.243246064200898</v>
      </c>
    </row>
    <row r="169" spans="1:29" x14ac:dyDescent="0.2">
      <c r="A169" t="s">
        <v>198</v>
      </c>
      <c r="B169" t="s">
        <v>204</v>
      </c>
      <c r="C169">
        <v>1.08306467575389</v>
      </c>
      <c r="D169">
        <v>0.595478970518595</v>
      </c>
      <c r="E169">
        <v>0.10644540095230901</v>
      </c>
      <c r="F169">
        <v>29.917639116200998</v>
      </c>
      <c r="G169">
        <v>33.917639116201002</v>
      </c>
      <c r="I169" t="s">
        <v>198</v>
      </c>
      <c r="J169" t="s">
        <v>204</v>
      </c>
      <c r="K169">
        <v>1.08306467575389</v>
      </c>
      <c r="L169">
        <v>0.595478970518595</v>
      </c>
      <c r="M169">
        <v>0.10644540095230901</v>
      </c>
      <c r="N169">
        <v>31.917639116200998</v>
      </c>
      <c r="O169">
        <v>1</v>
      </c>
      <c r="P169">
        <v>35.917639116201002</v>
      </c>
      <c r="R169" t="s">
        <v>198</v>
      </c>
      <c r="S169" t="s">
        <v>204</v>
      </c>
      <c r="T169">
        <v>1.0830646969408</v>
      </c>
      <c r="U169">
        <v>0.59547899751827804</v>
      </c>
      <c r="V169">
        <v>0.106445408592675</v>
      </c>
      <c r="W169">
        <v>31.917639193559001</v>
      </c>
      <c r="X169" s="23">
        <v>2.2090288254542199E-8</v>
      </c>
      <c r="Y169">
        <v>35.917639193558998</v>
      </c>
      <c r="AA169" t="str">
        <f t="shared" si="4"/>
        <v xml:space="preserve"> </v>
      </c>
      <c r="AC169">
        <f t="shared" si="5"/>
        <v>0.10644540095230901</v>
      </c>
    </row>
    <row r="170" spans="1:29" x14ac:dyDescent="0.2">
      <c r="A170" t="s">
        <v>198</v>
      </c>
      <c r="B170" t="s">
        <v>206</v>
      </c>
      <c r="C170">
        <v>-1.25793630250172E-2</v>
      </c>
      <c r="D170">
        <v>8.4335177565412298E-2</v>
      </c>
      <c r="E170">
        <v>0.885119641567921</v>
      </c>
      <c r="F170">
        <v>33.350626352396098</v>
      </c>
      <c r="G170">
        <v>37.350626352396098</v>
      </c>
      <c r="I170" t="s">
        <v>198</v>
      </c>
      <c r="J170" t="s">
        <v>206</v>
      </c>
      <c r="K170">
        <v>-3.73158865913026E-3</v>
      </c>
      <c r="L170">
        <v>8.2153280599960701E-2</v>
      </c>
      <c r="M170">
        <v>0.96488408770818901</v>
      </c>
      <c r="N170">
        <v>34.690947379072497</v>
      </c>
      <c r="O170">
        <v>0.87581042770781203</v>
      </c>
      <c r="P170">
        <v>38.690947379072497</v>
      </c>
      <c r="R170" t="s">
        <v>198</v>
      </c>
      <c r="S170" t="s">
        <v>206</v>
      </c>
      <c r="T170">
        <v>-1.30658629734598E-2</v>
      </c>
      <c r="U170">
        <v>8.5256042809447902E-2</v>
      </c>
      <c r="V170">
        <v>0.88199280363237997</v>
      </c>
      <c r="W170">
        <v>35.326695805513801</v>
      </c>
      <c r="X170">
        <v>1.3759643497895701E-2</v>
      </c>
      <c r="Y170">
        <v>39.326695805513801</v>
      </c>
      <c r="AA170" t="str">
        <f t="shared" si="4"/>
        <v xml:space="preserve"> </v>
      </c>
      <c r="AC170">
        <f t="shared" si="5"/>
        <v>0.88199280363237997</v>
      </c>
    </row>
    <row r="171" spans="1:29" x14ac:dyDescent="0.2">
      <c r="A171" t="s">
        <v>198</v>
      </c>
      <c r="B171" t="s">
        <v>205</v>
      </c>
      <c r="C171">
        <v>2.1692066478145202</v>
      </c>
      <c r="D171">
        <v>1.32605866335274</v>
      </c>
      <c r="E171">
        <v>0.14051324619427299</v>
      </c>
      <c r="F171">
        <v>30.492887574443301</v>
      </c>
      <c r="G171">
        <v>34.492887574443301</v>
      </c>
      <c r="I171" t="s">
        <v>198</v>
      </c>
      <c r="J171" t="s">
        <v>205</v>
      </c>
      <c r="K171">
        <v>2.1692066478145202</v>
      </c>
      <c r="L171">
        <v>1.32605866335274</v>
      </c>
      <c r="M171">
        <v>0.14051324619427299</v>
      </c>
      <c r="N171">
        <v>32.492887574443301</v>
      </c>
      <c r="O171">
        <v>1</v>
      </c>
      <c r="P171">
        <v>36.492887574443301</v>
      </c>
      <c r="R171" t="s">
        <v>198</v>
      </c>
      <c r="S171" t="s">
        <v>205</v>
      </c>
      <c r="T171">
        <v>2.2350652706485898</v>
      </c>
      <c r="U171">
        <v>1.3444681095831199</v>
      </c>
      <c r="V171">
        <v>0.13500296465825701</v>
      </c>
      <c r="W171">
        <v>32.432672884362098</v>
      </c>
      <c r="X171">
        <v>3.1920087990942203E-2</v>
      </c>
      <c r="Y171">
        <v>36.432672884362098</v>
      </c>
      <c r="AA171" t="str">
        <f t="shared" si="4"/>
        <v xml:space="preserve"> </v>
      </c>
      <c r="AC171">
        <f t="shared" si="5"/>
        <v>0.13500296465825701</v>
      </c>
    </row>
    <row r="172" spans="1:29" x14ac:dyDescent="0.2">
      <c r="A172" t="s">
        <v>198</v>
      </c>
      <c r="B172" t="s">
        <v>207</v>
      </c>
      <c r="C172">
        <v>-5.7581034219994403E-3</v>
      </c>
      <c r="D172">
        <v>5.9255185435588198E-3</v>
      </c>
      <c r="E172">
        <v>0.35963685589386202</v>
      </c>
      <c r="F172">
        <v>32.262658369007298</v>
      </c>
      <c r="G172">
        <v>36.262658369007298</v>
      </c>
      <c r="I172" t="s">
        <v>198</v>
      </c>
      <c r="J172" t="s">
        <v>207</v>
      </c>
      <c r="K172">
        <v>-4.8019858593561903E-3</v>
      </c>
      <c r="L172">
        <v>6.1863812454449199E-3</v>
      </c>
      <c r="M172">
        <v>0.45995052385524998</v>
      </c>
      <c r="N172">
        <v>34.023839893290301</v>
      </c>
      <c r="O172">
        <v>0.92003276358035702</v>
      </c>
      <c r="P172">
        <v>38.023839893290301</v>
      </c>
      <c r="R172" t="s">
        <v>198</v>
      </c>
      <c r="S172" t="s">
        <v>207</v>
      </c>
      <c r="T172">
        <v>-5.7575028542608403E-3</v>
      </c>
      <c r="U172">
        <v>5.9313891824514502E-3</v>
      </c>
      <c r="V172">
        <v>0.360134740958861</v>
      </c>
      <c r="W172">
        <v>34.2625945566542</v>
      </c>
      <c r="X172">
        <v>7.07223014174916E-4</v>
      </c>
      <c r="Y172">
        <v>38.2625945566542</v>
      </c>
      <c r="AA172" t="str">
        <f t="shared" si="4"/>
        <v xml:space="preserve"> </v>
      </c>
      <c r="AC172">
        <f t="shared" si="5"/>
        <v>0.35963685589386202</v>
      </c>
    </row>
    <row r="173" spans="1:29" x14ac:dyDescent="0.2">
      <c r="A173" t="s">
        <v>198</v>
      </c>
      <c r="B173" t="s">
        <v>208</v>
      </c>
      <c r="C173">
        <v>-0.71208347345658196</v>
      </c>
      <c r="D173">
        <v>0.32090306424465498</v>
      </c>
      <c r="E173">
        <v>5.7271492170189203E-2</v>
      </c>
      <c r="F173">
        <v>28.581987989236701</v>
      </c>
      <c r="G173">
        <v>32.581987989236701</v>
      </c>
      <c r="I173" t="s">
        <v>198</v>
      </c>
      <c r="J173" t="s">
        <v>208</v>
      </c>
      <c r="K173">
        <v>-0.71208347345658196</v>
      </c>
      <c r="L173">
        <v>0.32090306424465498</v>
      </c>
      <c r="M173">
        <v>5.7271492170189203E-2</v>
      </c>
      <c r="N173">
        <v>30.581987989236701</v>
      </c>
      <c r="O173">
        <v>1</v>
      </c>
      <c r="P173">
        <v>34.581987989236701</v>
      </c>
      <c r="R173" t="s">
        <v>198</v>
      </c>
      <c r="S173" t="s">
        <v>208</v>
      </c>
      <c r="T173">
        <v>-0.71208345217699998</v>
      </c>
      <c r="U173">
        <v>0.32090308261756301</v>
      </c>
      <c r="V173">
        <v>5.7271509444064603E-2</v>
      </c>
      <c r="W173">
        <v>30.5819886012839</v>
      </c>
      <c r="X173" s="23">
        <v>1.6343944628341801E-8</v>
      </c>
      <c r="Y173">
        <v>34.581988601283904</v>
      </c>
      <c r="AA173" t="str">
        <f t="shared" si="4"/>
        <v xml:space="preserve"> </v>
      </c>
      <c r="AC173">
        <f t="shared" si="5"/>
        <v>5.7271492170189203E-2</v>
      </c>
    </row>
    <row r="174" spans="1:29" x14ac:dyDescent="0.2">
      <c r="A174" t="s">
        <v>198</v>
      </c>
      <c r="B174" t="s">
        <v>209</v>
      </c>
      <c r="C174">
        <v>-3.2247387315494102E-4</v>
      </c>
      <c r="D174">
        <v>2.6332559906743799E-3</v>
      </c>
      <c r="E174">
        <v>0.90555360770321303</v>
      </c>
      <c r="F174">
        <v>33.359669679117097</v>
      </c>
      <c r="G174">
        <v>37.359669679117097</v>
      </c>
      <c r="I174" t="s">
        <v>198</v>
      </c>
      <c r="J174" t="s">
        <v>209</v>
      </c>
      <c r="K174">
        <v>-4.9437844335474502E-4</v>
      </c>
      <c r="L174">
        <v>2.6530696667309899E-3</v>
      </c>
      <c r="M174">
        <v>0.85681503739175902</v>
      </c>
      <c r="N174">
        <v>34.6503517849007</v>
      </c>
      <c r="O174">
        <v>0.872649226032851</v>
      </c>
      <c r="P174">
        <v>38.6503517849007</v>
      </c>
      <c r="R174" t="s">
        <v>198</v>
      </c>
      <c r="S174" t="s">
        <v>209</v>
      </c>
      <c r="T174">
        <v>-3.5836654865701998E-4</v>
      </c>
      <c r="U174">
        <v>2.6787218789295002E-3</v>
      </c>
      <c r="V174">
        <v>0.89687869173207702</v>
      </c>
      <c r="W174">
        <v>35.333758601537902</v>
      </c>
      <c r="X174">
        <v>1.4187154891958501E-2</v>
      </c>
      <c r="Y174">
        <v>39.333758601537902</v>
      </c>
      <c r="AA174" t="str">
        <f t="shared" si="4"/>
        <v xml:space="preserve"> </v>
      </c>
      <c r="AC174">
        <f t="shared" si="5"/>
        <v>0.85681503739175902</v>
      </c>
    </row>
    <row r="175" spans="1:29" x14ac:dyDescent="0.2">
      <c r="A175" t="s">
        <v>198</v>
      </c>
      <c r="B175" t="s">
        <v>210</v>
      </c>
      <c r="C175">
        <v>-3.1330386972785902E-2</v>
      </c>
      <c r="D175">
        <v>0.55999704811818396</v>
      </c>
      <c r="E175">
        <v>0.956755757563447</v>
      </c>
      <c r="F175">
        <v>33.374486439699197</v>
      </c>
      <c r="G175">
        <v>37.374486439699197</v>
      </c>
      <c r="I175" t="s">
        <v>198</v>
      </c>
      <c r="J175" t="s">
        <v>210</v>
      </c>
      <c r="K175">
        <v>-0.36420766922236902</v>
      </c>
      <c r="L175">
        <v>0.62105923857567202</v>
      </c>
      <c r="M175">
        <v>0.573756877085142</v>
      </c>
      <c r="N175">
        <v>34.326924611393302</v>
      </c>
      <c r="O175">
        <v>0.82271066600743603</v>
      </c>
      <c r="P175">
        <v>38.326924611393302</v>
      </c>
      <c r="R175" t="s">
        <v>198</v>
      </c>
      <c r="S175" t="s">
        <v>210</v>
      </c>
      <c r="T175">
        <v>-5.6294224813830999E-2</v>
      </c>
      <c r="U175">
        <v>0.57448361261277503</v>
      </c>
      <c r="V175">
        <v>0.92435012789425497</v>
      </c>
      <c r="W175">
        <v>35.344774862072299</v>
      </c>
      <c r="X175">
        <v>1.5632759604341399E-2</v>
      </c>
      <c r="Y175">
        <v>39.344774862072299</v>
      </c>
      <c r="AA175" t="str">
        <f t="shared" si="4"/>
        <v xml:space="preserve"> </v>
      </c>
      <c r="AC175">
        <f t="shared" si="5"/>
        <v>0.573756877085142</v>
      </c>
    </row>
    <row r="176" spans="1:29" x14ac:dyDescent="0.2">
      <c r="A176" t="s">
        <v>198</v>
      </c>
      <c r="B176" t="s">
        <v>4</v>
      </c>
      <c r="C176">
        <v>-0.66016304727268404</v>
      </c>
      <c r="D176">
        <v>0.49944832706411901</v>
      </c>
      <c r="E176">
        <v>0.22278457192333301</v>
      </c>
      <c r="F176">
        <v>31.403101103771501</v>
      </c>
      <c r="G176">
        <v>35.403101103771498</v>
      </c>
      <c r="I176" t="s">
        <v>198</v>
      </c>
      <c r="J176" t="s">
        <v>4</v>
      </c>
      <c r="K176">
        <v>-0.623338832680429</v>
      </c>
      <c r="L176">
        <v>0.50340966483925598</v>
      </c>
      <c r="M176">
        <v>0.25073148580994697</v>
      </c>
      <c r="N176">
        <v>32.989043848912601</v>
      </c>
      <c r="O176">
        <v>0.91720115823255899</v>
      </c>
      <c r="P176">
        <v>36.989043848912601</v>
      </c>
      <c r="R176" t="s">
        <v>198</v>
      </c>
      <c r="S176" t="s">
        <v>4</v>
      </c>
      <c r="T176">
        <v>-0.66016304400194703</v>
      </c>
      <c r="U176">
        <v>0.49944836785857699</v>
      </c>
      <c r="V176">
        <v>0.22278460833261801</v>
      </c>
      <c r="W176">
        <v>33.403101215480099</v>
      </c>
      <c r="X176" s="23">
        <v>5.7383588522221899E-8</v>
      </c>
      <c r="Y176">
        <v>37.403101215480099</v>
      </c>
      <c r="AA176" t="str">
        <f t="shared" si="4"/>
        <v xml:space="preserve"> </v>
      </c>
      <c r="AC176">
        <f t="shared" si="5"/>
        <v>0.22278457192333301</v>
      </c>
    </row>
    <row r="177" spans="1:29" x14ac:dyDescent="0.2">
      <c r="A177" t="s">
        <v>198</v>
      </c>
      <c r="B177" t="s">
        <v>3</v>
      </c>
      <c r="C177">
        <v>7.0362271920813102</v>
      </c>
      <c r="D177">
        <v>5.1582493354003702</v>
      </c>
      <c r="E177">
        <v>0.20968215712916599</v>
      </c>
      <c r="F177">
        <v>31.2872478315075</v>
      </c>
      <c r="G177">
        <v>35.2872478315075</v>
      </c>
      <c r="I177" t="s">
        <v>198</v>
      </c>
      <c r="J177" t="s">
        <v>3</v>
      </c>
      <c r="K177">
        <v>6.7599021782711199</v>
      </c>
      <c r="L177">
        <v>5.1608694824714698</v>
      </c>
      <c r="M177">
        <v>0.22661083689315101</v>
      </c>
      <c r="N177">
        <v>32.773181583482</v>
      </c>
      <c r="O177">
        <v>0.90454279185886599</v>
      </c>
      <c r="P177">
        <v>36.773181583482</v>
      </c>
      <c r="R177" t="s">
        <v>198</v>
      </c>
      <c r="S177" t="s">
        <v>3</v>
      </c>
      <c r="T177">
        <v>7.0401983439596298</v>
      </c>
      <c r="U177">
        <v>5.1672533808056098</v>
      </c>
      <c r="V177">
        <v>0.21016806471111499</v>
      </c>
      <c r="W177">
        <v>33.2869897475383</v>
      </c>
      <c r="X177">
        <v>1.44549522895872E-3</v>
      </c>
      <c r="Y177">
        <v>37.2869897475383</v>
      </c>
      <c r="AA177" t="str">
        <f t="shared" si="4"/>
        <v xml:space="preserve"> </v>
      </c>
      <c r="AC177">
        <f t="shared" si="5"/>
        <v>0.20968215712916599</v>
      </c>
    </row>
    <row r="178" spans="1:29" x14ac:dyDescent="0.2">
      <c r="A178" t="s">
        <v>198</v>
      </c>
      <c r="B178" t="s">
        <v>211</v>
      </c>
      <c r="C178">
        <v>1.37718638635114</v>
      </c>
      <c r="D178">
        <v>0.85565836312816601</v>
      </c>
      <c r="E178">
        <v>0.14617220045340201</v>
      </c>
      <c r="F178">
        <v>30.5732341103026</v>
      </c>
      <c r="G178">
        <v>34.5732341103026</v>
      </c>
      <c r="I178" t="s">
        <v>198</v>
      </c>
      <c r="J178" t="s">
        <v>211</v>
      </c>
      <c r="K178">
        <v>1.37718638635114</v>
      </c>
      <c r="L178">
        <v>0.85565836312816601</v>
      </c>
      <c r="M178">
        <v>0.14617220045340201</v>
      </c>
      <c r="N178">
        <v>32.5732341103026</v>
      </c>
      <c r="O178">
        <v>1</v>
      </c>
      <c r="P178">
        <v>36.5732341103026</v>
      </c>
      <c r="R178" t="s">
        <v>198</v>
      </c>
      <c r="S178" t="s">
        <v>211</v>
      </c>
      <c r="T178">
        <v>1.3771863798531601</v>
      </c>
      <c r="U178">
        <v>0.85565838504554703</v>
      </c>
      <c r="V178">
        <v>0.14617221113877399</v>
      </c>
      <c r="W178">
        <v>32.573234220854097</v>
      </c>
      <c r="X178" s="23">
        <v>8.4667308499818997E-9</v>
      </c>
      <c r="Y178">
        <v>36.573234220854097</v>
      </c>
      <c r="AA178" t="str">
        <f t="shared" si="4"/>
        <v xml:space="preserve"> </v>
      </c>
      <c r="AC178">
        <f t="shared" si="5"/>
        <v>0.14617220045340201</v>
      </c>
    </row>
    <row r="179" spans="1:29" x14ac:dyDescent="0.2">
      <c r="A179" t="s">
        <v>198</v>
      </c>
      <c r="B179" t="s">
        <v>212</v>
      </c>
      <c r="C179">
        <v>1.1763838940583999</v>
      </c>
      <c r="D179">
        <v>2.3886129060480501</v>
      </c>
      <c r="E179">
        <v>0.63559903360452996</v>
      </c>
      <c r="F179">
        <v>33.079712512926598</v>
      </c>
      <c r="G179">
        <v>37.079712512926598</v>
      </c>
      <c r="I179" t="s">
        <v>198</v>
      </c>
      <c r="J179" t="s">
        <v>212</v>
      </c>
      <c r="K179">
        <v>1.4038787607221399</v>
      </c>
      <c r="L179">
        <v>2.3519596368204101</v>
      </c>
      <c r="M179">
        <v>0.56708034749810099</v>
      </c>
      <c r="N179">
        <v>34.2582032074003</v>
      </c>
      <c r="O179">
        <v>0.87092559224247201</v>
      </c>
      <c r="P179">
        <v>38.2582032074003</v>
      </c>
      <c r="R179" t="s">
        <v>198</v>
      </c>
      <c r="S179" t="s">
        <v>212</v>
      </c>
      <c r="T179">
        <v>1.2011987243157201</v>
      </c>
      <c r="U179">
        <v>2.4222066488380301</v>
      </c>
      <c r="V179">
        <v>0.63329267821421098</v>
      </c>
      <c r="W179">
        <v>35.053263017340697</v>
      </c>
      <c r="X179">
        <v>1.39239275240644E-2</v>
      </c>
      <c r="Y179">
        <v>39.053263017340697</v>
      </c>
      <c r="AA179" t="str">
        <f t="shared" si="4"/>
        <v xml:space="preserve"> </v>
      </c>
      <c r="AC179">
        <f t="shared" si="5"/>
        <v>0.56708034749810099</v>
      </c>
    </row>
    <row r="180" spans="1:29" x14ac:dyDescent="0.2">
      <c r="A180" t="s">
        <v>198</v>
      </c>
      <c r="B180" t="s">
        <v>213</v>
      </c>
      <c r="C180">
        <v>2.866975643605</v>
      </c>
      <c r="D180">
        <v>1.9035783539187101</v>
      </c>
      <c r="E180">
        <v>0.17046337504747699</v>
      </c>
      <c r="F180">
        <v>30.882168424707501</v>
      </c>
      <c r="G180">
        <v>34.882168424707501</v>
      </c>
      <c r="I180" t="s">
        <v>198</v>
      </c>
      <c r="J180" t="s">
        <v>213</v>
      </c>
      <c r="K180">
        <v>2.866975643605</v>
      </c>
      <c r="L180">
        <v>1.9035783539187101</v>
      </c>
      <c r="M180">
        <v>0.17046337504747699</v>
      </c>
      <c r="N180">
        <v>32.882168424707501</v>
      </c>
      <c r="O180">
        <v>1</v>
      </c>
      <c r="P180">
        <v>36.882168424707501</v>
      </c>
      <c r="R180" t="s">
        <v>198</v>
      </c>
      <c r="S180" t="s">
        <v>213</v>
      </c>
      <c r="T180">
        <v>2.8669756487227298</v>
      </c>
      <c r="U180">
        <v>1.90357838510456</v>
      </c>
      <c r="V180">
        <v>0.170463380577106</v>
      </c>
      <c r="W180">
        <v>32.882168451360499</v>
      </c>
      <c r="X180" s="23">
        <v>8.4667308499818997E-9</v>
      </c>
      <c r="Y180">
        <v>36.882168451360499</v>
      </c>
      <c r="AA180" t="str">
        <f t="shared" si="4"/>
        <v xml:space="preserve"> </v>
      </c>
      <c r="AC180">
        <f t="shared" si="5"/>
        <v>0.17046337504747699</v>
      </c>
    </row>
    <row r="181" spans="1:29" x14ac:dyDescent="0.2">
      <c r="A181" t="s">
        <v>198</v>
      </c>
      <c r="B181" t="s">
        <v>214</v>
      </c>
      <c r="C181">
        <v>5.2030092444061496E-3</v>
      </c>
      <c r="D181">
        <v>5.1186860986598996E-3</v>
      </c>
      <c r="E181">
        <v>0.339156168278472</v>
      </c>
      <c r="F181">
        <v>32.1637263934213</v>
      </c>
      <c r="G181">
        <v>36.1637263934213</v>
      </c>
      <c r="I181" t="s">
        <v>198</v>
      </c>
      <c r="J181" t="s">
        <v>214</v>
      </c>
      <c r="K181">
        <v>5.2030092444061496E-3</v>
      </c>
      <c r="L181">
        <v>5.1186860986598996E-3</v>
      </c>
      <c r="M181">
        <v>0.339156168278472</v>
      </c>
      <c r="N181">
        <v>34.1637263934213</v>
      </c>
      <c r="O181">
        <v>1</v>
      </c>
      <c r="P181">
        <v>38.1637263934213</v>
      </c>
      <c r="R181" t="s">
        <v>198</v>
      </c>
      <c r="S181" t="s">
        <v>214</v>
      </c>
      <c r="T181">
        <v>5.2030090584695102E-3</v>
      </c>
      <c r="U181">
        <v>5.1186864050294196E-3</v>
      </c>
      <c r="V181">
        <v>0.33915621178185901</v>
      </c>
      <c r="W181">
        <v>34.163726501545497</v>
      </c>
      <c r="X181" s="23">
        <v>3.2031593760690999E-8</v>
      </c>
      <c r="Y181">
        <v>38.163726501545497</v>
      </c>
      <c r="AA181" t="str">
        <f t="shared" si="4"/>
        <v xml:space="preserve"> </v>
      </c>
      <c r="AC181">
        <f t="shared" si="5"/>
        <v>0.339156168278472</v>
      </c>
    </row>
    <row r="182" spans="1:29" x14ac:dyDescent="0.2">
      <c r="A182" t="s">
        <v>198</v>
      </c>
      <c r="B182" t="s">
        <v>215</v>
      </c>
      <c r="C182">
        <v>1.3740513193731001</v>
      </c>
      <c r="D182">
        <v>0.87120738069086801</v>
      </c>
      <c r="E182">
        <v>0.15340516443828001</v>
      </c>
      <c r="F182">
        <v>30.670974514055601</v>
      </c>
      <c r="G182">
        <v>34.670974514055601</v>
      </c>
      <c r="I182" t="s">
        <v>198</v>
      </c>
      <c r="J182" t="s">
        <v>215</v>
      </c>
      <c r="K182">
        <v>2.9978469325739798</v>
      </c>
      <c r="L182">
        <v>0.67701459256075003</v>
      </c>
      <c r="M182">
        <v>2.2027568217126599E-3</v>
      </c>
      <c r="N182">
        <v>29.148975157877199</v>
      </c>
      <c r="O182" s="23">
        <v>9.9999999999999903E-8</v>
      </c>
      <c r="P182">
        <v>33.148975157877203</v>
      </c>
      <c r="R182" t="s">
        <v>198</v>
      </c>
      <c r="S182" t="s">
        <v>215</v>
      </c>
      <c r="T182">
        <v>2.9978445967877301</v>
      </c>
      <c r="U182">
        <v>0.67701782020966095</v>
      </c>
      <c r="V182">
        <v>2.2028289208754701E-3</v>
      </c>
      <c r="W182">
        <v>29.149046078801</v>
      </c>
      <c r="X182">
        <v>4.23336542499095</v>
      </c>
      <c r="Y182">
        <v>33.149046078801</v>
      </c>
      <c r="AA182" t="str">
        <f t="shared" si="4"/>
        <v xml:space="preserve"> </v>
      </c>
      <c r="AC182">
        <f t="shared" si="5"/>
        <v>2.2027568217126599E-3</v>
      </c>
    </row>
    <row r="183" spans="1:29" x14ac:dyDescent="0.2">
      <c r="A183" t="s">
        <v>198</v>
      </c>
      <c r="B183" t="s">
        <v>25</v>
      </c>
      <c r="C183">
        <v>4.5416806984319201E-3</v>
      </c>
      <c r="D183">
        <v>2.00208968830263E-3</v>
      </c>
      <c r="E183">
        <v>5.3016870791100297E-2</v>
      </c>
      <c r="F183">
        <v>28.411671274793701</v>
      </c>
      <c r="G183">
        <v>32.411671274793697</v>
      </c>
      <c r="I183" t="s">
        <v>198</v>
      </c>
      <c r="J183" t="s">
        <v>25</v>
      </c>
      <c r="K183">
        <v>4.5416806984319201E-3</v>
      </c>
      <c r="L183">
        <v>2.00208968830263E-3</v>
      </c>
      <c r="M183">
        <v>5.3016870791100297E-2</v>
      </c>
      <c r="N183">
        <v>30.411671274793701</v>
      </c>
      <c r="O183">
        <v>1</v>
      </c>
      <c r="P183">
        <v>34.411671274793697</v>
      </c>
      <c r="R183" t="s">
        <v>198</v>
      </c>
      <c r="S183" t="s">
        <v>25</v>
      </c>
      <c r="T183">
        <v>4.54168067897212E-3</v>
      </c>
      <c r="U183">
        <v>2.0020897378343399E-3</v>
      </c>
      <c r="V183">
        <v>5.30168762391897E-2</v>
      </c>
      <c r="W183">
        <v>30.411671464185702</v>
      </c>
      <c r="X183" s="23">
        <v>8.4667308499818997E-9</v>
      </c>
      <c r="Y183">
        <v>34.411671464185702</v>
      </c>
      <c r="AA183" t="str">
        <f t="shared" si="4"/>
        <v xml:space="preserve"> </v>
      </c>
      <c r="AC183">
        <f t="shared" si="5"/>
        <v>5.3016870791100297E-2</v>
      </c>
    </row>
    <row r="184" spans="1:29" x14ac:dyDescent="0.2">
      <c r="A184" t="s">
        <v>198</v>
      </c>
      <c r="B184" t="s">
        <v>24</v>
      </c>
      <c r="C184">
        <v>-2.05184065079467</v>
      </c>
      <c r="D184">
        <v>1.0968866675111</v>
      </c>
      <c r="E184">
        <v>9.8315673544309701E-2</v>
      </c>
      <c r="F184">
        <v>29.750074240805599</v>
      </c>
      <c r="G184">
        <v>33.750074240805603</v>
      </c>
      <c r="I184" t="s">
        <v>198</v>
      </c>
      <c r="J184" t="s">
        <v>24</v>
      </c>
      <c r="K184">
        <v>-2.2488606438427099</v>
      </c>
      <c r="L184">
        <v>1.03414467910196</v>
      </c>
      <c r="M184">
        <v>6.1376016855095902E-2</v>
      </c>
      <c r="N184">
        <v>30.150783230553198</v>
      </c>
      <c r="O184">
        <v>0.80118791380683896</v>
      </c>
      <c r="P184">
        <v>34.150783230553202</v>
      </c>
      <c r="R184" t="s">
        <v>198</v>
      </c>
      <c r="S184" t="s">
        <v>24</v>
      </c>
      <c r="T184">
        <v>-2.2407284311734701</v>
      </c>
      <c r="U184">
        <v>1.1173314430216601</v>
      </c>
      <c r="V184">
        <v>7.9841845536047895E-2</v>
      </c>
      <c r="W184">
        <v>31.461474999828202</v>
      </c>
      <c r="X184">
        <v>5.17158627210016E-2</v>
      </c>
      <c r="Y184">
        <v>35.461474999828198</v>
      </c>
      <c r="AA184" t="str">
        <f t="shared" si="4"/>
        <v xml:space="preserve"> </v>
      </c>
      <c r="AC184">
        <f t="shared" si="5"/>
        <v>6.1376016855095902E-2</v>
      </c>
    </row>
    <row r="185" spans="1:29" x14ac:dyDescent="0.2">
      <c r="A185" t="s">
        <v>198</v>
      </c>
      <c r="B185" t="s">
        <v>23</v>
      </c>
      <c r="C185">
        <v>0.48575211541691898</v>
      </c>
      <c r="D185">
        <v>0.14974859905355001</v>
      </c>
      <c r="E185">
        <v>1.18104959265406E-2</v>
      </c>
      <c r="F185">
        <v>24.983148759020299</v>
      </c>
      <c r="G185">
        <v>28.983148759020299</v>
      </c>
      <c r="I185" t="s">
        <v>198</v>
      </c>
      <c r="J185" t="s">
        <v>23</v>
      </c>
      <c r="K185">
        <v>0.481681957649924</v>
      </c>
      <c r="L185">
        <v>0.14490969396485401</v>
      </c>
      <c r="M185">
        <v>1.04772836700683E-2</v>
      </c>
      <c r="N185">
        <v>26.018382963210001</v>
      </c>
      <c r="O185">
        <v>0.869895778818354</v>
      </c>
      <c r="P185">
        <v>30.018382963210001</v>
      </c>
      <c r="R185" t="s">
        <v>198</v>
      </c>
      <c r="S185" t="s">
        <v>23</v>
      </c>
      <c r="T185">
        <v>0.489155999513537</v>
      </c>
      <c r="U185">
        <v>0.15088296933503101</v>
      </c>
      <c r="V185">
        <v>1.18428722748413E-2</v>
      </c>
      <c r="W185">
        <v>26.968521386362902</v>
      </c>
      <c r="X185">
        <v>9.8019676397032504E-3</v>
      </c>
      <c r="Y185">
        <v>30.968521386362902</v>
      </c>
      <c r="AA185" t="str">
        <f t="shared" si="4"/>
        <v xml:space="preserve"> </v>
      </c>
      <c r="AC185">
        <f t="shared" si="5"/>
        <v>1.04772836700683E-2</v>
      </c>
    </row>
    <row r="186" spans="1:29" x14ac:dyDescent="0.2">
      <c r="A186" t="s">
        <v>198</v>
      </c>
      <c r="B186" t="s">
        <v>220</v>
      </c>
      <c r="C186">
        <v>-1.13622526453099E-3</v>
      </c>
      <c r="D186">
        <v>1.00963847617331E-3</v>
      </c>
      <c r="E186">
        <v>0.29305565110299198</v>
      </c>
      <c r="F186">
        <v>31.908781748253499</v>
      </c>
      <c r="G186">
        <v>35.908781748253503</v>
      </c>
      <c r="I186" t="s">
        <v>198</v>
      </c>
      <c r="J186" t="s">
        <v>220</v>
      </c>
      <c r="K186">
        <v>-1.63407000018436E-3</v>
      </c>
      <c r="L186">
        <v>9.6817201211655201E-4</v>
      </c>
      <c r="M186">
        <v>0.12993060180899099</v>
      </c>
      <c r="N186">
        <v>31.9062371172536</v>
      </c>
      <c r="O186">
        <v>0.74922078391930302</v>
      </c>
      <c r="P186">
        <v>35.906237117253603</v>
      </c>
      <c r="R186" t="s">
        <v>198</v>
      </c>
      <c r="S186" t="s">
        <v>220</v>
      </c>
      <c r="T186">
        <v>-1.4257608630856499E-3</v>
      </c>
      <c r="U186">
        <v>1.0428243227884001E-3</v>
      </c>
      <c r="V186">
        <v>0.20873686788999099</v>
      </c>
      <c r="W186">
        <v>33.544857461186801</v>
      </c>
      <c r="X186">
        <v>6.28716172146217E-2</v>
      </c>
      <c r="Y186">
        <v>37.544857461186801</v>
      </c>
      <c r="AA186" t="str">
        <f t="shared" si="4"/>
        <v xml:space="preserve"> </v>
      </c>
      <c r="AC186">
        <f t="shared" si="5"/>
        <v>0.12993060180899099</v>
      </c>
    </row>
    <row r="187" spans="1:29" x14ac:dyDescent="0.2">
      <c r="A187" t="s">
        <v>199</v>
      </c>
      <c r="B187" t="s">
        <v>200</v>
      </c>
      <c r="C187">
        <v>0.242476373739764</v>
      </c>
      <c r="D187">
        <v>0.57029636793671701</v>
      </c>
      <c r="E187">
        <v>0.681913941959431</v>
      </c>
      <c r="F187">
        <v>86.438010350481207</v>
      </c>
      <c r="G187">
        <v>90.438010350481207</v>
      </c>
      <c r="I187" t="s">
        <v>199</v>
      </c>
      <c r="J187" t="s">
        <v>200</v>
      </c>
      <c r="K187">
        <v>-0.35134138254281799</v>
      </c>
      <c r="L187">
        <v>0.31424826387087301</v>
      </c>
      <c r="M187">
        <v>0.29599784172170102</v>
      </c>
      <c r="N187">
        <v>85.900132404213394</v>
      </c>
      <c r="O187" s="23">
        <v>9.9999999999999903E-8</v>
      </c>
      <c r="P187">
        <v>89.900132404213394</v>
      </c>
      <c r="R187" t="s">
        <v>199</v>
      </c>
      <c r="S187" t="s">
        <v>200</v>
      </c>
      <c r="T187">
        <v>-0.29911018932884298</v>
      </c>
      <c r="U187">
        <v>0.32776259491807502</v>
      </c>
      <c r="V187">
        <v>0.38813602590045998</v>
      </c>
      <c r="W187">
        <v>85.764158644246905</v>
      </c>
      <c r="X187">
        <v>0.49827683644682502</v>
      </c>
      <c r="Y187">
        <v>89.764158644246905</v>
      </c>
      <c r="AA187" t="str">
        <f t="shared" si="4"/>
        <v xml:space="preserve"> </v>
      </c>
      <c r="AC187">
        <f t="shared" si="5"/>
        <v>0.29599784172170102</v>
      </c>
    </row>
    <row r="188" spans="1:29" x14ac:dyDescent="0.2">
      <c r="A188" t="s">
        <v>199</v>
      </c>
      <c r="B188" t="s">
        <v>201</v>
      </c>
      <c r="C188">
        <v>-7.9219949373909193E-2</v>
      </c>
      <c r="D188">
        <v>6.9513404768970194E-2</v>
      </c>
      <c r="E188">
        <v>0.28740838706393601</v>
      </c>
      <c r="F188">
        <v>85.157058342873697</v>
      </c>
      <c r="G188">
        <v>89.157058342873697</v>
      </c>
      <c r="I188" t="s">
        <v>199</v>
      </c>
      <c r="J188" t="s">
        <v>201</v>
      </c>
      <c r="K188">
        <v>-6.3008449366006095E-2</v>
      </c>
      <c r="L188">
        <v>7.3892162834238106E-2</v>
      </c>
      <c r="M188">
        <v>0.41861678852455098</v>
      </c>
      <c r="N188">
        <v>86.247134804451704</v>
      </c>
      <c r="O188">
        <v>0.22654056830701899</v>
      </c>
      <c r="P188">
        <v>90.247134804451704</v>
      </c>
      <c r="R188" t="s">
        <v>199</v>
      </c>
      <c r="S188" t="s">
        <v>201</v>
      </c>
      <c r="T188">
        <v>-6.6767035265818495E-2</v>
      </c>
      <c r="U188">
        <v>7.25371658456299E-2</v>
      </c>
      <c r="V188">
        <v>0.38425185338178303</v>
      </c>
      <c r="W188">
        <v>85.373469325922301</v>
      </c>
      <c r="X188">
        <v>0.22485525606905199</v>
      </c>
      <c r="Y188">
        <v>89.373469325922301</v>
      </c>
      <c r="AA188" t="str">
        <f t="shared" si="4"/>
        <v xml:space="preserve"> </v>
      </c>
      <c r="AC188">
        <f t="shared" si="5"/>
        <v>0.28740838706393601</v>
      </c>
    </row>
    <row r="189" spans="1:29" x14ac:dyDescent="0.2">
      <c r="A189" t="s">
        <v>199</v>
      </c>
      <c r="B189" t="s">
        <v>202</v>
      </c>
      <c r="C189">
        <v>4.2770380767781804</v>
      </c>
      <c r="D189">
        <v>3.7204144638751799</v>
      </c>
      <c r="E189">
        <v>0.28350866612865999</v>
      </c>
      <c r="F189">
        <v>85.132524392273496</v>
      </c>
      <c r="G189">
        <v>89.132524392273496</v>
      </c>
      <c r="I189" t="s">
        <v>199</v>
      </c>
      <c r="J189" t="s">
        <v>202</v>
      </c>
      <c r="K189">
        <v>-1.9453154399236801</v>
      </c>
      <c r="L189">
        <v>2.07164133951443</v>
      </c>
      <c r="M189">
        <v>0.375201561408675</v>
      </c>
      <c r="N189">
        <v>86.3063781274288</v>
      </c>
      <c r="O189" s="23">
        <v>9.9999999999999903E-8</v>
      </c>
      <c r="P189">
        <v>90.3063781274288</v>
      </c>
      <c r="R189" t="s">
        <v>199</v>
      </c>
      <c r="S189" t="s">
        <v>202</v>
      </c>
      <c r="T189">
        <v>-1.4437527949236499</v>
      </c>
      <c r="U189">
        <v>2.2049465439879099</v>
      </c>
      <c r="V189">
        <v>0.530981104212077</v>
      </c>
      <c r="W189">
        <v>86.139913476598295</v>
      </c>
      <c r="X189">
        <v>0.44966289984811098</v>
      </c>
      <c r="Y189">
        <v>90.139913476598295</v>
      </c>
      <c r="AA189" t="str">
        <f t="shared" si="4"/>
        <v xml:space="preserve"> </v>
      </c>
      <c r="AC189">
        <f t="shared" si="5"/>
        <v>0.28350866612865999</v>
      </c>
    </row>
    <row r="190" spans="1:29" x14ac:dyDescent="0.2">
      <c r="A190" t="s">
        <v>199</v>
      </c>
      <c r="B190" t="s">
        <v>203</v>
      </c>
      <c r="C190">
        <v>2.46263489928902E-2</v>
      </c>
      <c r="D190">
        <v>2.26104058203526E-3</v>
      </c>
      <c r="E190" s="23">
        <v>4.4708975783180398E-6</v>
      </c>
      <c r="F190">
        <v>59.043425673480897</v>
      </c>
      <c r="G190">
        <v>63.043425673480897</v>
      </c>
      <c r="I190" t="s">
        <v>199</v>
      </c>
      <c r="J190" t="s">
        <v>203</v>
      </c>
      <c r="K190">
        <v>2.46263489928902E-2</v>
      </c>
      <c r="L190">
        <v>2.26104058203526E-3</v>
      </c>
      <c r="M190" s="23">
        <v>4.4708975783180398E-6</v>
      </c>
      <c r="N190">
        <v>61.043425673480897</v>
      </c>
      <c r="O190">
        <v>1</v>
      </c>
      <c r="P190">
        <v>65.043425673480897</v>
      </c>
      <c r="R190" t="s">
        <v>199</v>
      </c>
      <c r="S190" t="s">
        <v>203</v>
      </c>
      <c r="T190">
        <v>2.4052521722029901E-2</v>
      </c>
      <c r="U190">
        <v>2.3336622640756101E-3</v>
      </c>
      <c r="V190" s="23">
        <v>6.7709342671182997E-6</v>
      </c>
      <c r="W190">
        <v>60.667203862119202</v>
      </c>
      <c r="X190">
        <v>8.38624724719884E-2</v>
      </c>
      <c r="Y190">
        <v>64.667203862119194</v>
      </c>
      <c r="AA190" t="str">
        <f t="shared" si="4"/>
        <v xml:space="preserve"> </v>
      </c>
      <c r="AC190">
        <f t="shared" si="5"/>
        <v>4.4708975783180398E-6</v>
      </c>
    </row>
    <row r="191" spans="1:29" x14ac:dyDescent="0.2">
      <c r="A191" t="s">
        <v>199</v>
      </c>
      <c r="B191" t="s">
        <v>204</v>
      </c>
      <c r="C191">
        <v>-4.5022441597792104</v>
      </c>
      <c r="D191">
        <v>10.0380665241795</v>
      </c>
      <c r="E191">
        <v>0.66567931140384795</v>
      </c>
      <c r="F191">
        <v>86.413113581124705</v>
      </c>
      <c r="G191">
        <v>90.413113581124705</v>
      </c>
      <c r="I191" t="s">
        <v>199</v>
      </c>
      <c r="J191" t="s">
        <v>204</v>
      </c>
      <c r="K191">
        <v>-19.3896933664331</v>
      </c>
      <c r="L191">
        <v>9.9832279826163202</v>
      </c>
      <c r="M191">
        <v>8.8043015889015599E-2</v>
      </c>
      <c r="N191">
        <v>83.488930193926294</v>
      </c>
      <c r="O191" s="23">
        <v>9.9999999999999903E-8</v>
      </c>
      <c r="P191">
        <v>87.488930193926294</v>
      </c>
      <c r="R191" t="s">
        <v>199</v>
      </c>
      <c r="S191" t="s">
        <v>204</v>
      </c>
      <c r="T191">
        <v>-19.3894764035253</v>
      </c>
      <c r="U191">
        <v>9.9832603220091194</v>
      </c>
      <c r="V191">
        <v>8.8046826408201204E-2</v>
      </c>
      <c r="W191">
        <v>83.488979666703898</v>
      </c>
      <c r="X191">
        <v>4.23336542499095</v>
      </c>
      <c r="Y191">
        <v>87.488979666703898</v>
      </c>
      <c r="AA191" t="str">
        <f t="shared" si="4"/>
        <v xml:space="preserve">P &amp; OU </v>
      </c>
      <c r="AC191">
        <f t="shared" si="5"/>
        <v>8.8043015889015599E-2</v>
      </c>
    </row>
    <row r="192" spans="1:29" x14ac:dyDescent="0.2">
      <c r="A192" t="s">
        <v>199</v>
      </c>
      <c r="B192" t="s">
        <v>206</v>
      </c>
      <c r="C192">
        <v>1.8300282503776899</v>
      </c>
      <c r="D192">
        <v>1.02530027173578</v>
      </c>
      <c r="E192">
        <v>0.112114076071972</v>
      </c>
      <c r="F192">
        <v>83.309460922829004</v>
      </c>
      <c r="G192">
        <v>87.309460922829004</v>
      </c>
      <c r="I192" t="s">
        <v>199</v>
      </c>
      <c r="J192" t="s">
        <v>206</v>
      </c>
      <c r="K192">
        <v>2.4700441266117901</v>
      </c>
      <c r="L192">
        <v>0.77495464078781495</v>
      </c>
      <c r="M192">
        <v>1.28547142348757E-2</v>
      </c>
      <c r="N192">
        <v>79.154637693620003</v>
      </c>
      <c r="O192" s="23">
        <v>9.9999999999999903E-8</v>
      </c>
      <c r="P192">
        <v>83.154637693620003</v>
      </c>
      <c r="R192" t="s">
        <v>199</v>
      </c>
      <c r="S192" t="s">
        <v>206</v>
      </c>
      <c r="T192">
        <v>2.4675450596204298</v>
      </c>
      <c r="U192">
        <v>0.775779669259402</v>
      </c>
      <c r="V192">
        <v>1.29832190681941E-2</v>
      </c>
      <c r="W192">
        <v>79.153904438245306</v>
      </c>
      <c r="X192">
        <v>1.6685936815434701</v>
      </c>
      <c r="Y192">
        <v>83.153904438245306</v>
      </c>
      <c r="AA192" t="str">
        <f t="shared" si="4"/>
        <v xml:space="preserve">P &amp; OU </v>
      </c>
      <c r="AC192">
        <f t="shared" si="5"/>
        <v>1.28547142348757E-2</v>
      </c>
    </row>
    <row r="193" spans="1:29" x14ac:dyDescent="0.2">
      <c r="A193" t="s">
        <v>199</v>
      </c>
      <c r="B193" t="s">
        <v>205</v>
      </c>
      <c r="C193">
        <v>-5.4177879127712698</v>
      </c>
      <c r="D193">
        <v>21.907566203093602</v>
      </c>
      <c r="E193">
        <v>0.81090291965988104</v>
      </c>
      <c r="F193">
        <v>86.585306259572505</v>
      </c>
      <c r="G193">
        <v>90.585306259572505</v>
      </c>
      <c r="I193" t="s">
        <v>199</v>
      </c>
      <c r="J193" t="s">
        <v>205</v>
      </c>
      <c r="K193">
        <v>-22.8053553820471</v>
      </c>
      <c r="L193">
        <v>13.856419499518299</v>
      </c>
      <c r="M193">
        <v>0.13841613553325199</v>
      </c>
      <c r="N193">
        <v>84.435749233710794</v>
      </c>
      <c r="O193" s="23">
        <v>9.9999999999999903E-8</v>
      </c>
      <c r="P193">
        <v>88.435749233710794</v>
      </c>
      <c r="R193" t="s">
        <v>199</v>
      </c>
      <c r="S193" t="s">
        <v>205</v>
      </c>
      <c r="T193">
        <v>-22.8053079496359</v>
      </c>
      <c r="U193">
        <v>13.8565341455623</v>
      </c>
      <c r="V193">
        <v>0.13841968338063201</v>
      </c>
      <c r="W193">
        <v>84.435758614624405</v>
      </c>
      <c r="X193">
        <v>4.23336542499095</v>
      </c>
      <c r="Y193">
        <v>88.435758614624405</v>
      </c>
      <c r="AA193" t="str">
        <f t="shared" si="4"/>
        <v xml:space="preserve">P &amp; OU </v>
      </c>
      <c r="AC193">
        <f t="shared" si="5"/>
        <v>0.13841613553325199</v>
      </c>
    </row>
    <row r="194" spans="1:29" x14ac:dyDescent="0.2">
      <c r="A194" t="s">
        <v>199</v>
      </c>
      <c r="B194" t="s">
        <v>207</v>
      </c>
      <c r="C194">
        <v>-6.0007482020665498E-2</v>
      </c>
      <c r="D194">
        <v>8.7407974105542699E-2</v>
      </c>
      <c r="E194">
        <v>0.51178812193094603</v>
      </c>
      <c r="F194">
        <v>86.089024655271899</v>
      </c>
      <c r="G194">
        <v>90.089024655271899</v>
      </c>
      <c r="I194" t="s">
        <v>199</v>
      </c>
      <c r="J194" t="s">
        <v>207</v>
      </c>
      <c r="K194">
        <v>-6.1357453163743497E-2</v>
      </c>
      <c r="L194">
        <v>0.102287230976572</v>
      </c>
      <c r="M194">
        <v>0.56520238725159</v>
      </c>
      <c r="N194">
        <v>86.690252068191697</v>
      </c>
      <c r="O194">
        <v>0.26731619323367001</v>
      </c>
      <c r="P194">
        <v>90.690252068191697</v>
      </c>
      <c r="R194" t="s">
        <v>199</v>
      </c>
      <c r="S194" t="s">
        <v>207</v>
      </c>
      <c r="T194">
        <v>-5.9697274129452402E-2</v>
      </c>
      <c r="U194">
        <v>9.7098715823797199E-2</v>
      </c>
      <c r="V194">
        <v>0.555759286604669</v>
      </c>
      <c r="W194">
        <v>85.901927123498893</v>
      </c>
      <c r="X194">
        <v>0.24316877472187501</v>
      </c>
      <c r="Y194">
        <v>89.901927123498893</v>
      </c>
      <c r="AA194" t="str">
        <f t="shared" si="4"/>
        <v xml:space="preserve"> </v>
      </c>
      <c r="AC194">
        <f t="shared" si="5"/>
        <v>0.51178812193094603</v>
      </c>
    </row>
    <row r="195" spans="1:29" x14ac:dyDescent="0.2">
      <c r="A195" t="s">
        <v>199</v>
      </c>
      <c r="B195" t="s">
        <v>208</v>
      </c>
      <c r="C195">
        <v>-3.20094062819846</v>
      </c>
      <c r="D195">
        <v>5.7449539326057604</v>
      </c>
      <c r="E195">
        <v>0.59265062695940296</v>
      </c>
      <c r="F195">
        <v>86.280749480811295</v>
      </c>
      <c r="G195">
        <v>90.280749480811295</v>
      </c>
      <c r="I195" t="s">
        <v>199</v>
      </c>
      <c r="J195" t="s">
        <v>208</v>
      </c>
      <c r="K195">
        <v>-8.4244751417876707</v>
      </c>
      <c r="L195">
        <v>5.88423906362965</v>
      </c>
      <c r="M195">
        <v>0.19011530817921499</v>
      </c>
      <c r="N195">
        <v>85.070879429042407</v>
      </c>
      <c r="O195" s="23">
        <v>9.9999999999999903E-8</v>
      </c>
      <c r="P195">
        <v>89.070879429042407</v>
      </c>
      <c r="R195" t="s">
        <v>199</v>
      </c>
      <c r="S195" t="s">
        <v>208</v>
      </c>
      <c r="T195">
        <v>-7.42781212221752</v>
      </c>
      <c r="U195">
        <v>6.1163192600897203</v>
      </c>
      <c r="V195">
        <v>0.25921338846712</v>
      </c>
      <c r="W195">
        <v>85.084437627510397</v>
      </c>
      <c r="X195">
        <v>0.51055061523446799</v>
      </c>
      <c r="Y195">
        <v>89.084437627510397</v>
      </c>
      <c r="AA195" t="str">
        <f t="shared" si="4"/>
        <v xml:space="preserve"> </v>
      </c>
      <c r="AC195">
        <f t="shared" si="5"/>
        <v>0.19011530817921499</v>
      </c>
    </row>
    <row r="196" spans="1:29" x14ac:dyDescent="0.2">
      <c r="A196" t="s">
        <v>199</v>
      </c>
      <c r="B196" t="s">
        <v>209</v>
      </c>
      <c r="C196">
        <v>-4.6253436333910602E-2</v>
      </c>
      <c r="D196">
        <v>3.41215887822615E-2</v>
      </c>
      <c r="E196">
        <v>0.21226876533750499</v>
      </c>
      <c r="F196">
        <v>84.593853405925501</v>
      </c>
      <c r="G196">
        <v>88.593853405925501</v>
      </c>
      <c r="I196" t="s">
        <v>199</v>
      </c>
      <c r="J196" t="s">
        <v>209</v>
      </c>
      <c r="K196">
        <v>-3.1346215814602202E-2</v>
      </c>
      <c r="L196">
        <v>3.9640992917092201E-2</v>
      </c>
      <c r="M196">
        <v>0.45189127457917699</v>
      </c>
      <c r="N196">
        <v>86.606442675784606</v>
      </c>
      <c r="O196">
        <v>0.48992203293863201</v>
      </c>
      <c r="P196">
        <v>90.606442675784606</v>
      </c>
      <c r="R196" t="s">
        <v>199</v>
      </c>
      <c r="S196" t="s">
        <v>209</v>
      </c>
      <c r="T196">
        <v>-3.6394787438163802E-2</v>
      </c>
      <c r="U196">
        <v>3.8039278834844703E-2</v>
      </c>
      <c r="V196">
        <v>0.36669971932151502</v>
      </c>
      <c r="W196">
        <v>85.475925488700398</v>
      </c>
      <c r="X196">
        <v>0.165434255213155</v>
      </c>
      <c r="Y196">
        <v>89.475925488700398</v>
      </c>
      <c r="AA196" t="str">
        <f t="shared" si="4"/>
        <v xml:space="preserve"> </v>
      </c>
      <c r="AC196">
        <f t="shared" si="5"/>
        <v>0.21226876533750499</v>
      </c>
    </row>
    <row r="197" spans="1:29" x14ac:dyDescent="0.2">
      <c r="A197" t="s">
        <v>199</v>
      </c>
      <c r="B197" t="s">
        <v>210</v>
      </c>
      <c r="C197">
        <v>-11.797943440841401</v>
      </c>
      <c r="D197">
        <v>6.8742329656848797</v>
      </c>
      <c r="E197">
        <v>0.124450179537519</v>
      </c>
      <c r="F197">
        <v>83.526563143401205</v>
      </c>
      <c r="G197">
        <v>87.526563143401205</v>
      </c>
      <c r="I197" t="s">
        <v>199</v>
      </c>
      <c r="J197" t="s">
        <v>210</v>
      </c>
      <c r="K197">
        <v>-14.95114933746</v>
      </c>
      <c r="L197">
        <v>8.6663249506800994</v>
      </c>
      <c r="M197">
        <v>0.12277305602209999</v>
      </c>
      <c r="N197">
        <v>84.154242552103796</v>
      </c>
      <c r="O197">
        <v>0.46119072565679903</v>
      </c>
      <c r="P197">
        <v>88.154242552103796</v>
      </c>
      <c r="R197" t="s">
        <v>199</v>
      </c>
      <c r="S197" t="s">
        <v>210</v>
      </c>
      <c r="T197">
        <v>-12.810827397248</v>
      </c>
      <c r="U197">
        <v>8.1072394675233195</v>
      </c>
      <c r="V197">
        <v>0.15272252232102301</v>
      </c>
      <c r="W197">
        <v>83.721182153837802</v>
      </c>
      <c r="X197">
        <v>0.19680311096018699</v>
      </c>
      <c r="Y197">
        <v>87.721182153837802</v>
      </c>
      <c r="AA197" t="str">
        <f t="shared" si="4"/>
        <v xml:space="preserve"> </v>
      </c>
      <c r="AC197">
        <f t="shared" si="5"/>
        <v>0.12277305602209999</v>
      </c>
    </row>
    <row r="198" spans="1:29" x14ac:dyDescent="0.2">
      <c r="A198" t="s">
        <v>199</v>
      </c>
      <c r="B198" t="s">
        <v>4</v>
      </c>
      <c r="C198">
        <v>-6.2331042589385701</v>
      </c>
      <c r="D198">
        <v>7.6012605071920101</v>
      </c>
      <c r="E198">
        <v>0.43595941397224502</v>
      </c>
      <c r="F198">
        <v>85.854405610071495</v>
      </c>
      <c r="G198">
        <v>89.854405610071495</v>
      </c>
      <c r="I198" t="s">
        <v>199</v>
      </c>
      <c r="J198" t="s">
        <v>4</v>
      </c>
      <c r="K198">
        <v>1.3106917482093901</v>
      </c>
      <c r="L198">
        <v>8.9836554745211803</v>
      </c>
      <c r="M198">
        <v>0.88761163360488804</v>
      </c>
      <c r="N198">
        <v>87.097767017668502</v>
      </c>
      <c r="O198">
        <v>0.15645761460620899</v>
      </c>
      <c r="P198">
        <v>91.097767017668502</v>
      </c>
      <c r="R198" t="s">
        <v>199</v>
      </c>
      <c r="S198" t="s">
        <v>4</v>
      </c>
      <c r="T198">
        <v>-2.2115335398617901</v>
      </c>
      <c r="U198">
        <v>8.4825519816461199</v>
      </c>
      <c r="V198">
        <v>0.80089734973979498</v>
      </c>
      <c r="W198">
        <v>86.300679411159507</v>
      </c>
      <c r="X198">
        <v>0.22116738456639601</v>
      </c>
      <c r="Y198">
        <v>90.300679411159507</v>
      </c>
      <c r="AA198" t="str">
        <f t="shared" ref="AA198:AA261" si="6">IF(AND(G198-P198&lt;-2, G198-Y198&lt;-2), "BM", IF(OR(P198-G198&lt;-2, Y198-G198&lt;-2), IF(AND(P198-G198&lt;-2, Y198-G198&gt;-2), "P ", IF(AND(P198-G198&lt;-2, Y198-G198&lt;-2), "P &amp; OU ", "OU ")), " "))</f>
        <v xml:space="preserve"> </v>
      </c>
      <c r="AC198">
        <f t="shared" ref="AC198:AC261" si="7">MIN(E198,M198,V198)</f>
        <v>0.43595941397224502</v>
      </c>
    </row>
    <row r="199" spans="1:29" x14ac:dyDescent="0.2">
      <c r="A199" t="s">
        <v>199</v>
      </c>
      <c r="B199" t="s">
        <v>3</v>
      </c>
      <c r="C199">
        <v>60.988347260640502</v>
      </c>
      <c r="D199">
        <v>79.334462129698494</v>
      </c>
      <c r="E199">
        <v>0.46412957259458998</v>
      </c>
      <c r="F199">
        <v>85.948755183240095</v>
      </c>
      <c r="G199">
        <v>89.948755183240095</v>
      </c>
      <c r="I199" t="s">
        <v>199</v>
      </c>
      <c r="J199" t="s">
        <v>3</v>
      </c>
      <c r="K199">
        <v>-40.144009457138097</v>
      </c>
      <c r="L199">
        <v>89.186916432758807</v>
      </c>
      <c r="M199">
        <v>0.66457736965392999</v>
      </c>
      <c r="N199">
        <v>87.009062092196302</v>
      </c>
      <c r="O199">
        <v>3.8343418955675702E-2</v>
      </c>
      <c r="P199">
        <v>91.009062092196302</v>
      </c>
      <c r="R199" t="s">
        <v>199</v>
      </c>
      <c r="S199" t="s">
        <v>3</v>
      </c>
      <c r="T199">
        <v>9.4268382350010107</v>
      </c>
      <c r="U199">
        <v>86.065509230499899</v>
      </c>
      <c r="V199">
        <v>0.91547904881368303</v>
      </c>
      <c r="W199">
        <v>86.351107892813701</v>
      </c>
      <c r="X199">
        <v>0.238976229010159</v>
      </c>
      <c r="Y199">
        <v>90.351107892813701</v>
      </c>
      <c r="AA199" t="str">
        <f t="shared" si="6"/>
        <v xml:space="preserve"> </v>
      </c>
      <c r="AC199">
        <f t="shared" si="7"/>
        <v>0.46412957259458998</v>
      </c>
    </row>
    <row r="200" spans="1:29" x14ac:dyDescent="0.2">
      <c r="A200" t="s">
        <v>199</v>
      </c>
      <c r="B200" t="s">
        <v>211</v>
      </c>
      <c r="C200">
        <v>1.15621932918862</v>
      </c>
      <c r="D200">
        <v>14.127297378644901</v>
      </c>
      <c r="E200">
        <v>0.93678222941150802</v>
      </c>
      <c r="F200">
        <v>86.653094131968601</v>
      </c>
      <c r="G200">
        <v>90.653094131968601</v>
      </c>
      <c r="I200" t="s">
        <v>199</v>
      </c>
      <c r="J200" t="s">
        <v>211</v>
      </c>
      <c r="K200">
        <v>-5.2704091858324196</v>
      </c>
      <c r="L200">
        <v>24.049465582924899</v>
      </c>
      <c r="M200">
        <v>0.83202207739657597</v>
      </c>
      <c r="N200">
        <v>87.058304075092806</v>
      </c>
      <c r="O200">
        <v>0.17536397631074199</v>
      </c>
      <c r="P200">
        <v>91.058304075092806</v>
      </c>
      <c r="R200" t="s">
        <v>199</v>
      </c>
      <c r="S200" t="s">
        <v>211</v>
      </c>
      <c r="T200">
        <v>-1.1501686149077299</v>
      </c>
      <c r="U200">
        <v>18.894371768874901</v>
      </c>
      <c r="V200">
        <v>0.95295315520175605</v>
      </c>
      <c r="W200">
        <v>86.355646082126498</v>
      </c>
      <c r="X200">
        <v>0.25937255088134598</v>
      </c>
      <c r="Y200">
        <v>90.355646082126498</v>
      </c>
      <c r="AA200" t="str">
        <f t="shared" si="6"/>
        <v xml:space="preserve"> </v>
      </c>
      <c r="AC200">
        <f t="shared" si="7"/>
        <v>0.83202207739657597</v>
      </c>
    </row>
    <row r="201" spans="1:29" x14ac:dyDescent="0.2">
      <c r="A201" t="s">
        <v>199</v>
      </c>
      <c r="B201" t="s">
        <v>212</v>
      </c>
      <c r="C201">
        <v>76.553374363235704</v>
      </c>
      <c r="D201">
        <v>21.884489760272299</v>
      </c>
      <c r="E201">
        <v>8.1020258538412101E-3</v>
      </c>
      <c r="F201">
        <v>77.381019160161202</v>
      </c>
      <c r="G201">
        <v>81.381019160161202</v>
      </c>
      <c r="I201" t="s">
        <v>199</v>
      </c>
      <c r="J201" t="s">
        <v>212</v>
      </c>
      <c r="K201">
        <v>79.001719199328093</v>
      </c>
      <c r="L201">
        <v>22.466027608312601</v>
      </c>
      <c r="M201">
        <v>7.8862222125341205E-3</v>
      </c>
      <c r="N201">
        <v>78.035747709516599</v>
      </c>
      <c r="O201">
        <v>0.50350376779674899</v>
      </c>
      <c r="P201">
        <v>82.035747709516599</v>
      </c>
      <c r="R201" t="s">
        <v>199</v>
      </c>
      <c r="S201" t="s">
        <v>212</v>
      </c>
      <c r="T201">
        <v>78.443907932046798</v>
      </c>
      <c r="U201">
        <v>23.172242733104799</v>
      </c>
      <c r="V201">
        <v>9.5669436084854006E-3</v>
      </c>
      <c r="W201">
        <v>77.561993277760095</v>
      </c>
      <c r="X201">
        <v>0.19226315867355001</v>
      </c>
      <c r="Y201">
        <v>81.561993277760095</v>
      </c>
      <c r="AA201" t="str">
        <f t="shared" si="6"/>
        <v xml:space="preserve"> </v>
      </c>
      <c r="AC201">
        <f t="shared" si="7"/>
        <v>7.8862222125341205E-3</v>
      </c>
    </row>
    <row r="202" spans="1:29" x14ac:dyDescent="0.2">
      <c r="A202" t="s">
        <v>199</v>
      </c>
      <c r="B202" t="s">
        <v>213</v>
      </c>
      <c r="C202">
        <v>-3.5554982755797502</v>
      </c>
      <c r="D202">
        <v>30.934598476360801</v>
      </c>
      <c r="E202">
        <v>0.91132831983819096</v>
      </c>
      <c r="F202">
        <v>86.644964229445307</v>
      </c>
      <c r="G202">
        <v>90.644964229445307</v>
      </c>
      <c r="I202" t="s">
        <v>199</v>
      </c>
      <c r="J202" t="s">
        <v>213</v>
      </c>
      <c r="K202">
        <v>-38.930902891485701</v>
      </c>
      <c r="L202">
        <v>31.296753498412301</v>
      </c>
      <c r="M202">
        <v>0.248737565192826</v>
      </c>
      <c r="N202">
        <v>85.583733647752695</v>
      </c>
      <c r="O202" s="23">
        <v>9.9999999999999903E-8</v>
      </c>
      <c r="P202">
        <v>89.583733647752695</v>
      </c>
      <c r="R202" t="s">
        <v>199</v>
      </c>
      <c r="S202" t="s">
        <v>213</v>
      </c>
      <c r="T202">
        <v>-38.930440438607498</v>
      </c>
      <c r="U202">
        <v>31.296946362334602</v>
      </c>
      <c r="V202">
        <v>0.248745397657538</v>
      </c>
      <c r="W202">
        <v>85.583749128746604</v>
      </c>
      <c r="X202">
        <v>4.23336542499095</v>
      </c>
      <c r="Y202">
        <v>89.583749128746604</v>
      </c>
      <c r="AA202" t="str">
        <f t="shared" si="6"/>
        <v xml:space="preserve"> </v>
      </c>
      <c r="AC202">
        <f t="shared" si="7"/>
        <v>0.248737565192826</v>
      </c>
    </row>
    <row r="203" spans="1:29" x14ac:dyDescent="0.2">
      <c r="A203" t="s">
        <v>199</v>
      </c>
      <c r="B203" t="s">
        <v>214</v>
      </c>
      <c r="C203">
        <v>-1.7831094049839801E-2</v>
      </c>
      <c r="D203">
        <v>7.7829050335698799E-2</v>
      </c>
      <c r="E203">
        <v>0.82453512813635699</v>
      </c>
      <c r="F203">
        <v>86.596065880558399</v>
      </c>
      <c r="G203">
        <v>90.596065880558399</v>
      </c>
      <c r="I203" t="s">
        <v>199</v>
      </c>
      <c r="J203" t="s">
        <v>214</v>
      </c>
      <c r="K203">
        <v>-7.6746104093214904E-2</v>
      </c>
      <c r="L203">
        <v>9.2733734129444301E-2</v>
      </c>
      <c r="M203">
        <v>0.43189171570706297</v>
      </c>
      <c r="N203">
        <v>86.5304898466553</v>
      </c>
      <c r="O203" s="23">
        <v>3.5594231076701202E-6</v>
      </c>
      <c r="P203">
        <v>90.5304898466553</v>
      </c>
      <c r="R203" t="s">
        <v>199</v>
      </c>
      <c r="S203" t="s">
        <v>214</v>
      </c>
      <c r="T203">
        <v>-4.4442436092476202E-2</v>
      </c>
      <c r="U203">
        <v>8.9304899314570793E-2</v>
      </c>
      <c r="V203">
        <v>0.63212066026495795</v>
      </c>
      <c r="W203">
        <v>86.076799255693899</v>
      </c>
      <c r="X203">
        <v>0.294914788630882</v>
      </c>
      <c r="Y203">
        <v>90.076799255693899</v>
      </c>
      <c r="AA203" t="str">
        <f t="shared" si="6"/>
        <v xml:space="preserve"> </v>
      </c>
      <c r="AC203">
        <f t="shared" si="7"/>
        <v>0.43189171570706297</v>
      </c>
    </row>
    <row r="204" spans="1:29" x14ac:dyDescent="0.2">
      <c r="A204" t="s">
        <v>199</v>
      </c>
      <c r="B204" t="s">
        <v>215</v>
      </c>
      <c r="C204">
        <v>18.0734923414084</v>
      </c>
      <c r="D204">
        <v>12.815137491744499</v>
      </c>
      <c r="E204">
        <v>0.19612040853971499</v>
      </c>
      <c r="F204">
        <v>84.441020999253396</v>
      </c>
      <c r="G204">
        <v>88.441020999253396</v>
      </c>
      <c r="I204" t="s">
        <v>199</v>
      </c>
      <c r="J204" t="s">
        <v>215</v>
      </c>
      <c r="K204">
        <v>18.0734923414084</v>
      </c>
      <c r="L204">
        <v>12.815137491744499</v>
      </c>
      <c r="M204">
        <v>0.19612040853971499</v>
      </c>
      <c r="N204">
        <v>86.441020999253396</v>
      </c>
      <c r="O204">
        <v>1</v>
      </c>
      <c r="P204">
        <v>90.441020999253396</v>
      </c>
      <c r="R204" t="s">
        <v>199</v>
      </c>
      <c r="S204" t="s">
        <v>215</v>
      </c>
      <c r="T204">
        <v>11.7426488581456</v>
      </c>
      <c r="U204">
        <v>13.0069002619801</v>
      </c>
      <c r="V204">
        <v>0.39300221351947001</v>
      </c>
      <c r="W204">
        <v>85.995658795182706</v>
      </c>
      <c r="X204">
        <v>0.10985737395327699</v>
      </c>
      <c r="Y204">
        <v>89.995658795182706</v>
      </c>
      <c r="AA204" t="str">
        <f t="shared" si="6"/>
        <v xml:space="preserve"> </v>
      </c>
      <c r="AC204">
        <f t="shared" si="7"/>
        <v>0.19612040853971499</v>
      </c>
    </row>
    <row r="205" spans="1:29" x14ac:dyDescent="0.2">
      <c r="A205" t="s">
        <v>199</v>
      </c>
      <c r="B205" t="s">
        <v>25</v>
      </c>
      <c r="C205">
        <v>2.2944424907328599E-2</v>
      </c>
      <c r="D205">
        <v>3.5939431777684501E-2</v>
      </c>
      <c r="E205">
        <v>0.54104167290572602</v>
      </c>
      <c r="F205">
        <v>86.164543108497298</v>
      </c>
      <c r="G205">
        <v>90.164543108497298</v>
      </c>
      <c r="I205" t="s">
        <v>199</v>
      </c>
      <c r="J205" t="s">
        <v>25</v>
      </c>
      <c r="K205">
        <v>6.2836982665137597E-2</v>
      </c>
      <c r="L205">
        <v>4.4585449550967701E-2</v>
      </c>
      <c r="M205">
        <v>0.196394776278913</v>
      </c>
      <c r="N205">
        <v>85.021921253137805</v>
      </c>
      <c r="O205">
        <v>4.8394389348166998E-2</v>
      </c>
      <c r="P205">
        <v>89.021921253137805</v>
      </c>
      <c r="R205" t="s">
        <v>199</v>
      </c>
      <c r="S205" t="s">
        <v>25</v>
      </c>
      <c r="T205">
        <v>5.4716636722152302E-2</v>
      </c>
      <c r="U205">
        <v>4.2648522211727199E-2</v>
      </c>
      <c r="V205">
        <v>0.23542197561361899</v>
      </c>
      <c r="W205">
        <v>84.861889572792094</v>
      </c>
      <c r="X205">
        <v>0.486537692114003</v>
      </c>
      <c r="Y205">
        <v>88.861889572792094</v>
      </c>
      <c r="AA205" t="str">
        <f t="shared" si="6"/>
        <v xml:space="preserve"> </v>
      </c>
      <c r="AC205">
        <f t="shared" si="7"/>
        <v>0.196394776278913</v>
      </c>
    </row>
    <row r="206" spans="1:29" x14ac:dyDescent="0.2">
      <c r="A206" t="s">
        <v>199</v>
      </c>
      <c r="B206" t="s">
        <v>24</v>
      </c>
      <c r="C206">
        <v>-22.869513538196401</v>
      </c>
      <c r="D206">
        <v>17.059787220750302</v>
      </c>
      <c r="E206">
        <v>0.21688570220830899</v>
      </c>
      <c r="F206">
        <v>84.635038339143094</v>
      </c>
      <c r="G206">
        <v>88.635038339143094</v>
      </c>
      <c r="I206" t="s">
        <v>199</v>
      </c>
      <c r="J206" t="s">
        <v>24</v>
      </c>
      <c r="K206">
        <v>-16.936816963644599</v>
      </c>
      <c r="L206">
        <v>17.592160383694601</v>
      </c>
      <c r="M206">
        <v>0.36386784395854399</v>
      </c>
      <c r="N206">
        <v>86.372779553452503</v>
      </c>
      <c r="O206">
        <v>0.55708332468003896</v>
      </c>
      <c r="P206">
        <v>90.372779553452503</v>
      </c>
      <c r="R206" t="s">
        <v>199</v>
      </c>
      <c r="S206" t="s">
        <v>24</v>
      </c>
      <c r="T206">
        <v>-15.8416634201227</v>
      </c>
      <c r="U206">
        <v>17.300066269388601</v>
      </c>
      <c r="V206">
        <v>0.38659405893243898</v>
      </c>
      <c r="W206">
        <v>85.628461469335093</v>
      </c>
      <c r="X206">
        <v>0.15336456876024199</v>
      </c>
      <c r="Y206">
        <v>89.628461469335093</v>
      </c>
      <c r="AA206" t="str">
        <f t="shared" si="6"/>
        <v xml:space="preserve"> </v>
      </c>
      <c r="AC206">
        <f t="shared" si="7"/>
        <v>0.21688570220830899</v>
      </c>
    </row>
    <row r="207" spans="1:29" x14ac:dyDescent="0.2">
      <c r="A207" t="s">
        <v>199</v>
      </c>
      <c r="B207" t="s">
        <v>23</v>
      </c>
      <c r="C207">
        <v>4.8006629320224103</v>
      </c>
      <c r="D207">
        <v>2.7962705199463298</v>
      </c>
      <c r="E207">
        <v>0.12434583659978</v>
      </c>
      <c r="F207">
        <v>83.524828147842697</v>
      </c>
      <c r="G207">
        <v>87.524828147842697</v>
      </c>
      <c r="I207" t="s">
        <v>199</v>
      </c>
      <c r="J207" t="s">
        <v>23</v>
      </c>
      <c r="K207">
        <v>4.3978236422221899</v>
      </c>
      <c r="L207">
        <v>2.81968753206039</v>
      </c>
      <c r="M207">
        <v>0.15745427746771401</v>
      </c>
      <c r="N207">
        <v>84.826598378385697</v>
      </c>
      <c r="O207">
        <v>0.56412012451186899</v>
      </c>
      <c r="P207">
        <v>88.826598378385697</v>
      </c>
      <c r="R207" t="s">
        <v>199</v>
      </c>
      <c r="S207" t="s">
        <v>23</v>
      </c>
      <c r="T207">
        <v>4.0855390657595798</v>
      </c>
      <c r="U207">
        <v>2.8600081774098798</v>
      </c>
      <c r="V207">
        <v>0.19100257065081999</v>
      </c>
      <c r="W207">
        <v>84.446731903324306</v>
      </c>
      <c r="X207">
        <v>0.13905588258166299</v>
      </c>
      <c r="Y207">
        <v>88.446731903324306</v>
      </c>
      <c r="AA207" t="str">
        <f t="shared" si="6"/>
        <v xml:space="preserve"> </v>
      </c>
      <c r="AC207">
        <f t="shared" si="7"/>
        <v>0.12434583659978</v>
      </c>
    </row>
    <row r="208" spans="1:29" x14ac:dyDescent="0.2">
      <c r="A208" t="s">
        <v>199</v>
      </c>
      <c r="B208" t="s">
        <v>220</v>
      </c>
      <c r="C208">
        <v>-1.6121903216563701E-2</v>
      </c>
      <c r="D208">
        <v>1.4520635951308701E-2</v>
      </c>
      <c r="E208">
        <v>0.29913468582290298</v>
      </c>
      <c r="F208">
        <v>85.228351435135707</v>
      </c>
      <c r="G208">
        <v>89.228351435135707</v>
      </c>
      <c r="I208" t="s">
        <v>199</v>
      </c>
      <c r="J208" t="s">
        <v>220</v>
      </c>
      <c r="K208">
        <v>-1.0084707277728399E-2</v>
      </c>
      <c r="L208">
        <v>1.56047662426107E-2</v>
      </c>
      <c r="M208">
        <v>0.53620689304423597</v>
      </c>
      <c r="N208">
        <v>86.828922504048194</v>
      </c>
      <c r="O208">
        <v>0.47562287007724502</v>
      </c>
      <c r="P208">
        <v>90.828922504048194</v>
      </c>
      <c r="R208" t="s">
        <v>199</v>
      </c>
      <c r="S208" t="s">
        <v>220</v>
      </c>
      <c r="T208">
        <v>-9.5801352547287607E-3</v>
      </c>
      <c r="U208">
        <v>1.5006546989248099E-2</v>
      </c>
      <c r="V208">
        <v>0.54105540215443504</v>
      </c>
      <c r="W208">
        <v>86.012749355378503</v>
      </c>
      <c r="X208">
        <v>0.176254883869367</v>
      </c>
      <c r="Y208">
        <v>90.012749355378503</v>
      </c>
      <c r="AA208" t="str">
        <f t="shared" si="6"/>
        <v xml:space="preserve"> </v>
      </c>
      <c r="AC208">
        <f t="shared" si="7"/>
        <v>0.29913468582290298</v>
      </c>
    </row>
    <row r="209" spans="1:29" x14ac:dyDescent="0.2">
      <c r="A209" t="s">
        <v>200</v>
      </c>
      <c r="B209" t="s">
        <v>201</v>
      </c>
      <c r="C209">
        <v>-4.8716825821045803E-3</v>
      </c>
      <c r="D209">
        <v>4.5912727565406E-2</v>
      </c>
      <c r="E209">
        <v>0.91810953975454201</v>
      </c>
      <c r="F209">
        <v>76.861513528656204</v>
      </c>
      <c r="G209">
        <v>80.861513528656204</v>
      </c>
      <c r="I209" t="s">
        <v>200</v>
      </c>
      <c r="J209" t="s">
        <v>201</v>
      </c>
      <c r="K209">
        <v>-1.2716189428783199E-2</v>
      </c>
      <c r="L209">
        <v>4.45908950099363E-2</v>
      </c>
      <c r="M209">
        <v>0.78275408532116297</v>
      </c>
      <c r="N209">
        <v>78.0884473751901</v>
      </c>
      <c r="O209">
        <v>0.89532710733669296</v>
      </c>
      <c r="P209">
        <v>82.0884473751901</v>
      </c>
      <c r="R209" t="s">
        <v>200</v>
      </c>
      <c r="S209" t="s">
        <v>201</v>
      </c>
      <c r="T209">
        <v>-4.8716831771893603E-3</v>
      </c>
      <c r="U209">
        <v>4.5912728022023001E-2</v>
      </c>
      <c r="V209">
        <v>0.91810953060459899</v>
      </c>
      <c r="W209">
        <v>78.861513571120796</v>
      </c>
      <c r="X209" s="23">
        <v>8.4667308499818997E-9</v>
      </c>
      <c r="Y209">
        <v>82.861513571120796</v>
      </c>
      <c r="AA209" t="str">
        <f t="shared" si="6"/>
        <v xml:space="preserve"> </v>
      </c>
      <c r="AC209">
        <f t="shared" si="7"/>
        <v>0.78275408532116297</v>
      </c>
    </row>
    <row r="210" spans="1:29" x14ac:dyDescent="0.2">
      <c r="A210" t="s">
        <v>200</v>
      </c>
      <c r="B210" t="s">
        <v>202</v>
      </c>
      <c r="C210">
        <v>6.2832491435413296</v>
      </c>
      <c r="D210">
        <v>1.0614647617159301</v>
      </c>
      <c r="E210">
        <v>3.5392469066898401E-4</v>
      </c>
      <c r="F210">
        <v>60.048818948739701</v>
      </c>
      <c r="G210">
        <v>64.048818948739694</v>
      </c>
      <c r="I210" t="s">
        <v>200</v>
      </c>
      <c r="J210" t="s">
        <v>202</v>
      </c>
      <c r="K210">
        <v>6.3465811132740502</v>
      </c>
      <c r="L210">
        <v>0.425754447226808</v>
      </c>
      <c r="M210" s="23">
        <v>4.0444374731469701E-7</v>
      </c>
      <c r="N210">
        <v>54.661703635663599</v>
      </c>
      <c r="O210" s="23">
        <v>9.9999999999999903E-8</v>
      </c>
      <c r="P210">
        <v>58.661703635663599</v>
      </c>
      <c r="R210" t="s">
        <v>200</v>
      </c>
      <c r="S210" t="s">
        <v>202</v>
      </c>
      <c r="T210">
        <v>6.3465855516130603</v>
      </c>
      <c r="U210">
        <v>0.42575568373818801</v>
      </c>
      <c r="V210" s="23">
        <v>4.0445065834161601E-7</v>
      </c>
      <c r="W210">
        <v>54.661711510104503</v>
      </c>
      <c r="X210">
        <v>4.23336542499095</v>
      </c>
      <c r="Y210">
        <v>58.661711510104503</v>
      </c>
      <c r="AA210" t="str">
        <f t="shared" si="6"/>
        <v xml:space="preserve">P &amp; OU </v>
      </c>
      <c r="AC210">
        <f t="shared" si="7"/>
        <v>4.0444374731469701E-7</v>
      </c>
    </row>
    <row r="211" spans="1:29" x14ac:dyDescent="0.2">
      <c r="A211" t="s">
        <v>200</v>
      </c>
      <c r="B211" t="s">
        <v>203</v>
      </c>
      <c r="C211">
        <v>1.17112058314177E-3</v>
      </c>
      <c r="D211">
        <v>5.4992195836420302E-3</v>
      </c>
      <c r="E211">
        <v>0.83668378628377205</v>
      </c>
      <c r="F211">
        <v>76.819046602313904</v>
      </c>
      <c r="G211">
        <v>80.819046602313904</v>
      </c>
      <c r="I211" t="s">
        <v>200</v>
      </c>
      <c r="J211" t="s">
        <v>203</v>
      </c>
      <c r="K211">
        <v>2.45346552049381E-4</v>
      </c>
      <c r="L211">
        <v>5.4008513591513301E-3</v>
      </c>
      <c r="M211">
        <v>0.96488013821139695</v>
      </c>
      <c r="N211">
        <v>78.184691369127705</v>
      </c>
      <c r="O211">
        <v>0.90507925396553501</v>
      </c>
      <c r="P211">
        <v>82.184691369127705</v>
      </c>
      <c r="R211" t="s">
        <v>200</v>
      </c>
      <c r="S211" t="s">
        <v>203</v>
      </c>
      <c r="T211">
        <v>1.1711200992026601E-3</v>
      </c>
      <c r="U211">
        <v>5.4992197287635899E-3</v>
      </c>
      <c r="V211">
        <v>0.83668385687164204</v>
      </c>
      <c r="W211">
        <v>78.819046778122498</v>
      </c>
      <c r="X211" s="23">
        <v>2.0079590145192899E-8</v>
      </c>
      <c r="Y211">
        <v>82.819046778122498</v>
      </c>
      <c r="AA211" t="str">
        <f t="shared" si="6"/>
        <v xml:space="preserve"> </v>
      </c>
      <c r="AC211">
        <f t="shared" si="7"/>
        <v>0.83668378628377205</v>
      </c>
    </row>
    <row r="212" spans="1:29" x14ac:dyDescent="0.2">
      <c r="A212" t="s">
        <v>200</v>
      </c>
      <c r="B212" t="s">
        <v>204</v>
      </c>
      <c r="C212">
        <v>11.3893282801626</v>
      </c>
      <c r="D212">
        <v>4.7548394976194697</v>
      </c>
      <c r="E212">
        <v>4.34937063617424E-2</v>
      </c>
      <c r="F212">
        <v>71.468682031895895</v>
      </c>
      <c r="G212">
        <v>75.468682031895895</v>
      </c>
      <c r="I212" t="s">
        <v>200</v>
      </c>
      <c r="J212" t="s">
        <v>204</v>
      </c>
      <c r="K212">
        <v>11.3893282801626</v>
      </c>
      <c r="L212">
        <v>4.7548394976194697</v>
      </c>
      <c r="M212">
        <v>4.34937063617424E-2</v>
      </c>
      <c r="N212">
        <v>73.468682031895895</v>
      </c>
      <c r="O212">
        <v>1</v>
      </c>
      <c r="P212">
        <v>77.468682031895895</v>
      </c>
      <c r="R212" t="s">
        <v>200</v>
      </c>
      <c r="S212" t="s">
        <v>204</v>
      </c>
      <c r="T212">
        <v>11.389328402511399</v>
      </c>
      <c r="U212">
        <v>4.7548396140581399</v>
      </c>
      <c r="V212">
        <v>4.3493708596652303E-2</v>
      </c>
      <c r="W212">
        <v>73.468682210597905</v>
      </c>
      <c r="X212" s="23">
        <v>8.6517208889039799E-9</v>
      </c>
      <c r="Y212">
        <v>77.468682210597905</v>
      </c>
      <c r="AA212" t="str">
        <f t="shared" si="6"/>
        <v xml:space="preserve"> </v>
      </c>
      <c r="AC212">
        <f t="shared" si="7"/>
        <v>4.34937063617424E-2</v>
      </c>
    </row>
    <row r="213" spans="1:29" x14ac:dyDescent="0.2">
      <c r="A213" t="s">
        <v>200</v>
      </c>
      <c r="B213" t="s">
        <v>206</v>
      </c>
      <c r="C213">
        <v>0.38437402769693801</v>
      </c>
      <c r="D213">
        <v>0.73073132301968702</v>
      </c>
      <c r="E213">
        <v>0.61314505771666505</v>
      </c>
      <c r="F213">
        <v>76.5355618890801</v>
      </c>
      <c r="G213">
        <v>80.5355618890801</v>
      </c>
      <c r="I213" t="s">
        <v>200</v>
      </c>
      <c r="J213" t="s">
        <v>206</v>
      </c>
      <c r="K213">
        <v>0.40544743472853301</v>
      </c>
      <c r="L213">
        <v>0.70698148328108501</v>
      </c>
      <c r="M213">
        <v>0.58207092969629604</v>
      </c>
      <c r="N213">
        <v>77.785166375717395</v>
      </c>
      <c r="O213">
        <v>0.90770213735092298</v>
      </c>
      <c r="P213">
        <v>81.785166375717395</v>
      </c>
      <c r="R213" t="s">
        <v>200</v>
      </c>
      <c r="S213" t="s">
        <v>206</v>
      </c>
      <c r="T213">
        <v>0.38437401764398199</v>
      </c>
      <c r="U213">
        <v>0.73073133066388096</v>
      </c>
      <c r="V213">
        <v>0.61314507049898603</v>
      </c>
      <c r="W213">
        <v>78.535561959179304</v>
      </c>
      <c r="X213" s="23">
        <v>8.4667308499818997E-9</v>
      </c>
      <c r="Y213">
        <v>82.535561959179304</v>
      </c>
      <c r="AA213" t="str">
        <f t="shared" si="6"/>
        <v xml:space="preserve"> </v>
      </c>
      <c r="AC213">
        <f t="shared" si="7"/>
        <v>0.58207092969629604</v>
      </c>
    </row>
    <row r="214" spans="1:29" x14ac:dyDescent="0.2">
      <c r="A214" t="s">
        <v>200</v>
      </c>
      <c r="B214" t="s">
        <v>205</v>
      </c>
      <c r="C214">
        <v>18.790212568340699</v>
      </c>
      <c r="D214">
        <v>11.731441984136</v>
      </c>
      <c r="E214">
        <v>0.147890320993292</v>
      </c>
      <c r="F214">
        <v>74.094116670135307</v>
      </c>
      <c r="G214">
        <v>78.094116670135307</v>
      </c>
      <c r="I214" t="s">
        <v>200</v>
      </c>
      <c r="J214" t="s">
        <v>205</v>
      </c>
      <c r="K214">
        <v>18.785789478587699</v>
      </c>
      <c r="L214">
        <v>11.732607601479801</v>
      </c>
      <c r="M214">
        <v>0.148008961776148</v>
      </c>
      <c r="N214">
        <v>76.094114310504295</v>
      </c>
      <c r="O214">
        <v>0.999914598703181</v>
      </c>
      <c r="P214">
        <v>80.094114310504295</v>
      </c>
      <c r="R214" t="s">
        <v>200</v>
      </c>
      <c r="S214" t="s">
        <v>205</v>
      </c>
      <c r="T214">
        <v>18.790214106068099</v>
      </c>
      <c r="U214">
        <v>11.7314424469591</v>
      </c>
      <c r="V214">
        <v>0.147890305975408</v>
      </c>
      <c r="W214">
        <v>76.094116766220793</v>
      </c>
      <c r="X214" s="23">
        <v>4.8382012948627098E-8</v>
      </c>
      <c r="Y214">
        <v>80.094116766220793</v>
      </c>
      <c r="AA214" t="str">
        <f t="shared" si="6"/>
        <v xml:space="preserve"> </v>
      </c>
      <c r="AC214">
        <f t="shared" si="7"/>
        <v>0.147890305975408</v>
      </c>
    </row>
    <row r="215" spans="1:29" x14ac:dyDescent="0.2">
      <c r="A215" t="s">
        <v>200</v>
      </c>
      <c r="B215" t="s">
        <v>207</v>
      </c>
      <c r="C215">
        <v>-5.8911485927093603E-2</v>
      </c>
      <c r="D215">
        <v>5.1057171318776802E-2</v>
      </c>
      <c r="E215">
        <v>0.28187210163722998</v>
      </c>
      <c r="F215">
        <v>75.336214569498793</v>
      </c>
      <c r="G215">
        <v>79.336214569498793</v>
      </c>
      <c r="I215" t="s">
        <v>200</v>
      </c>
      <c r="J215" t="s">
        <v>207</v>
      </c>
      <c r="K215">
        <v>-5.15205033353641E-2</v>
      </c>
      <c r="L215">
        <v>5.2597241544432599E-2</v>
      </c>
      <c r="M215">
        <v>0.35600791386154901</v>
      </c>
      <c r="N215">
        <v>77.177400792829602</v>
      </c>
      <c r="O215">
        <v>0.95062931394344696</v>
      </c>
      <c r="P215">
        <v>81.177400792829602</v>
      </c>
      <c r="R215" t="s">
        <v>200</v>
      </c>
      <c r="S215" t="s">
        <v>207</v>
      </c>
      <c r="T215">
        <v>-5.8911485672047598E-2</v>
      </c>
      <c r="U215">
        <v>5.1057172221824702E-2</v>
      </c>
      <c r="V215">
        <v>0.28187211146486901</v>
      </c>
      <c r="W215">
        <v>77.336214677940006</v>
      </c>
      <c r="X215" s="23">
        <v>8.4667308499818997E-9</v>
      </c>
      <c r="Y215">
        <v>81.336214677940006</v>
      </c>
      <c r="AA215" t="str">
        <f t="shared" si="6"/>
        <v xml:space="preserve"> </v>
      </c>
      <c r="AC215">
        <f t="shared" si="7"/>
        <v>0.28187210163722998</v>
      </c>
    </row>
    <row r="216" spans="1:29" x14ac:dyDescent="0.2">
      <c r="A216" t="s">
        <v>200</v>
      </c>
      <c r="B216" t="s">
        <v>208</v>
      </c>
      <c r="C216">
        <v>-6.2330538896265004</v>
      </c>
      <c r="D216">
        <v>2.83362627836074</v>
      </c>
      <c r="E216">
        <v>5.9023911123276103E-2</v>
      </c>
      <c r="F216">
        <v>72.145456866233204</v>
      </c>
      <c r="G216">
        <v>76.145456866233204</v>
      </c>
      <c r="I216" t="s">
        <v>200</v>
      </c>
      <c r="J216" t="s">
        <v>208</v>
      </c>
      <c r="K216">
        <v>-6.2330538896265004</v>
      </c>
      <c r="L216">
        <v>2.83362627836074</v>
      </c>
      <c r="M216">
        <v>5.9023911123276103E-2</v>
      </c>
      <c r="N216">
        <v>74.145456866233204</v>
      </c>
      <c r="O216">
        <v>1</v>
      </c>
      <c r="P216">
        <v>78.145456866233204</v>
      </c>
      <c r="R216" t="s">
        <v>200</v>
      </c>
      <c r="S216" t="s">
        <v>208</v>
      </c>
      <c r="T216">
        <v>-6.2330537522822196</v>
      </c>
      <c r="U216">
        <v>2.8336263934674299</v>
      </c>
      <c r="V216">
        <v>5.9023923808799297E-2</v>
      </c>
      <c r="W216">
        <v>74.145457406581897</v>
      </c>
      <c r="X216" s="23">
        <v>8.8530612696934106E-9</v>
      </c>
      <c r="Y216">
        <v>78.145457406581897</v>
      </c>
      <c r="AA216" t="str">
        <f t="shared" si="6"/>
        <v xml:space="preserve"> </v>
      </c>
      <c r="AC216">
        <f t="shared" si="7"/>
        <v>5.9023911123276103E-2</v>
      </c>
    </row>
    <row r="217" spans="1:29" x14ac:dyDescent="0.2">
      <c r="A217" t="s">
        <v>200</v>
      </c>
      <c r="B217" t="s">
        <v>209</v>
      </c>
      <c r="C217">
        <v>-7.8972645076233992E-3</v>
      </c>
      <c r="D217">
        <v>2.30281996332421E-2</v>
      </c>
      <c r="E217">
        <v>0.74048168454436503</v>
      </c>
      <c r="F217">
        <v>76.729638402814302</v>
      </c>
      <c r="G217">
        <v>80.729638402814302</v>
      </c>
      <c r="I217" t="s">
        <v>200</v>
      </c>
      <c r="J217" t="s">
        <v>209</v>
      </c>
      <c r="K217">
        <v>-1.02160106926996E-2</v>
      </c>
      <c r="L217">
        <v>2.29338387384878E-2</v>
      </c>
      <c r="M217">
        <v>0.667798160878048</v>
      </c>
      <c r="N217">
        <v>77.944021684329897</v>
      </c>
      <c r="O217">
        <v>0.89624845391119701</v>
      </c>
      <c r="P217">
        <v>81.944021684329897</v>
      </c>
      <c r="R217" t="s">
        <v>200</v>
      </c>
      <c r="S217" t="s">
        <v>209</v>
      </c>
      <c r="T217">
        <v>-7.8972649492632906E-3</v>
      </c>
      <c r="U217">
        <v>2.30282001437737E-2</v>
      </c>
      <c r="V217">
        <v>0.74048167616106697</v>
      </c>
      <c r="W217">
        <v>78.729638483071696</v>
      </c>
      <c r="X217" s="23">
        <v>1.37035658206612E-8</v>
      </c>
      <c r="Y217">
        <v>82.729638483071696</v>
      </c>
      <c r="AA217" t="str">
        <f t="shared" si="6"/>
        <v xml:space="preserve"> </v>
      </c>
      <c r="AC217">
        <f t="shared" si="7"/>
        <v>0.667798160878048</v>
      </c>
    </row>
    <row r="218" spans="1:29" x14ac:dyDescent="0.2">
      <c r="A218" t="s">
        <v>200</v>
      </c>
      <c r="B218" t="s">
        <v>210</v>
      </c>
      <c r="C218">
        <v>5.3411102664749004</v>
      </c>
      <c r="D218">
        <v>4.5534281197530202</v>
      </c>
      <c r="E218">
        <v>0.27454119262766402</v>
      </c>
      <c r="F218">
        <v>75.288569413136798</v>
      </c>
      <c r="G218">
        <v>79.288569413136798</v>
      </c>
      <c r="I218" t="s">
        <v>200</v>
      </c>
      <c r="J218" t="s">
        <v>210</v>
      </c>
      <c r="K218">
        <v>4.9870679698234603</v>
      </c>
      <c r="L218">
        <v>4.6554052111776496</v>
      </c>
      <c r="M218">
        <v>0.31531105968917</v>
      </c>
      <c r="N218">
        <v>77.273360592541394</v>
      </c>
      <c r="O218">
        <v>0.98366373370904003</v>
      </c>
      <c r="P218">
        <v>81.273360592541394</v>
      </c>
      <c r="R218" t="s">
        <v>200</v>
      </c>
      <c r="S218" t="s">
        <v>210</v>
      </c>
      <c r="T218">
        <v>5.34110996675214</v>
      </c>
      <c r="U218">
        <v>4.5534284412304098</v>
      </c>
      <c r="V218">
        <v>0.27454124891094001</v>
      </c>
      <c r="W218">
        <v>77.288569941903802</v>
      </c>
      <c r="X218" s="23">
        <v>2.5058515038410701E-8</v>
      </c>
      <c r="Y218">
        <v>81.288569941903802</v>
      </c>
      <c r="AA218" t="str">
        <f t="shared" si="6"/>
        <v xml:space="preserve"> </v>
      </c>
      <c r="AC218">
        <f t="shared" si="7"/>
        <v>0.27454119262766402</v>
      </c>
    </row>
    <row r="219" spans="1:29" x14ac:dyDescent="0.2">
      <c r="A219" t="s">
        <v>200</v>
      </c>
      <c r="B219" t="s">
        <v>4</v>
      </c>
      <c r="C219">
        <v>1.32023664346183</v>
      </c>
      <c r="D219">
        <v>4.8294060790476099</v>
      </c>
      <c r="E219">
        <v>0.79149029283407701</v>
      </c>
      <c r="F219">
        <v>76.782593717152096</v>
      </c>
      <c r="G219">
        <v>80.782593717152096</v>
      </c>
      <c r="I219" t="s">
        <v>200</v>
      </c>
      <c r="J219" t="s">
        <v>4</v>
      </c>
      <c r="K219">
        <v>1.48233807411838</v>
      </c>
      <c r="L219">
        <v>4.8168032227003703</v>
      </c>
      <c r="M219">
        <v>0.76613739098577505</v>
      </c>
      <c r="N219">
        <v>78.069430257562004</v>
      </c>
      <c r="O219">
        <v>0.90387245016854001</v>
      </c>
      <c r="P219">
        <v>82.069430257562004</v>
      </c>
      <c r="R219" t="s">
        <v>200</v>
      </c>
      <c r="S219" t="s">
        <v>4</v>
      </c>
      <c r="T219">
        <v>1.3202364132220299</v>
      </c>
      <c r="U219">
        <v>4.8294066430895004</v>
      </c>
      <c r="V219">
        <v>0.79149035187588701</v>
      </c>
      <c r="W219">
        <v>78.782594207150893</v>
      </c>
      <c r="X219" s="23">
        <v>6.96078766767634E-8</v>
      </c>
      <c r="Y219">
        <v>82.782594207150893</v>
      </c>
      <c r="AA219" t="str">
        <f t="shared" si="6"/>
        <v xml:space="preserve"> </v>
      </c>
      <c r="AC219">
        <f t="shared" si="7"/>
        <v>0.76613739098577505</v>
      </c>
    </row>
    <row r="220" spans="1:29" x14ac:dyDescent="0.2">
      <c r="A220" t="s">
        <v>200</v>
      </c>
      <c r="B220" t="s">
        <v>3</v>
      </c>
      <c r="C220">
        <v>-9.5765421301201705</v>
      </c>
      <c r="D220">
        <v>50.287281888507501</v>
      </c>
      <c r="E220">
        <v>0.85371073080736104</v>
      </c>
      <c r="F220">
        <v>76.830346914206501</v>
      </c>
      <c r="G220">
        <v>80.830346914206501</v>
      </c>
      <c r="I220" t="s">
        <v>200</v>
      </c>
      <c r="J220" t="s">
        <v>3</v>
      </c>
      <c r="K220">
        <v>-9.1538487860752902</v>
      </c>
      <c r="L220">
        <v>49.875035136288098</v>
      </c>
      <c r="M220">
        <v>0.858944203658774</v>
      </c>
      <c r="N220">
        <v>78.145282787714805</v>
      </c>
      <c r="O220">
        <v>0.90524145667501199</v>
      </c>
      <c r="P220">
        <v>82.145282787714805</v>
      </c>
      <c r="R220" t="s">
        <v>200</v>
      </c>
      <c r="S220" t="s">
        <v>3</v>
      </c>
      <c r="T220">
        <v>-9.5765359650823694</v>
      </c>
      <c r="U220">
        <v>50.2872878045414</v>
      </c>
      <c r="V220">
        <v>0.85371084069080705</v>
      </c>
      <c r="W220">
        <v>78.830347449686101</v>
      </c>
      <c r="X220" s="23">
        <v>7.4553704646607395E-8</v>
      </c>
      <c r="Y220">
        <v>82.830347449686101</v>
      </c>
      <c r="AA220" t="str">
        <f t="shared" si="6"/>
        <v xml:space="preserve"> </v>
      </c>
      <c r="AC220">
        <f t="shared" si="7"/>
        <v>0.85371073080736104</v>
      </c>
    </row>
    <row r="221" spans="1:29" x14ac:dyDescent="0.2">
      <c r="A221" t="s">
        <v>200</v>
      </c>
      <c r="B221" t="s">
        <v>211</v>
      </c>
      <c r="C221">
        <v>15.669057859442299</v>
      </c>
      <c r="D221">
        <v>6.6620916043185696</v>
      </c>
      <c r="E221">
        <v>4.6537724184082398E-2</v>
      </c>
      <c r="F221">
        <v>71.619585729311595</v>
      </c>
      <c r="G221">
        <v>75.619585729311595</v>
      </c>
      <c r="I221" t="s">
        <v>200</v>
      </c>
      <c r="J221" t="s">
        <v>211</v>
      </c>
      <c r="K221">
        <v>15.669057859442299</v>
      </c>
      <c r="L221">
        <v>6.6620916043185696</v>
      </c>
      <c r="M221">
        <v>4.6537724184082398E-2</v>
      </c>
      <c r="N221">
        <v>73.619585729311595</v>
      </c>
      <c r="O221">
        <v>1</v>
      </c>
      <c r="P221">
        <v>77.619585729311595</v>
      </c>
      <c r="R221" t="s">
        <v>200</v>
      </c>
      <c r="S221" t="s">
        <v>211</v>
      </c>
      <c r="T221">
        <v>15.6690578395557</v>
      </c>
      <c r="U221">
        <v>6.6620919830653396</v>
      </c>
      <c r="V221">
        <v>4.6537734114574798E-2</v>
      </c>
      <c r="W221">
        <v>73.619586288776802</v>
      </c>
      <c r="X221" s="23">
        <v>1.30255157386796E-8</v>
      </c>
      <c r="Y221">
        <v>77.619586288776802</v>
      </c>
      <c r="AA221" t="str">
        <f t="shared" si="6"/>
        <v xml:space="preserve"> </v>
      </c>
      <c r="AC221">
        <f t="shared" si="7"/>
        <v>4.6537724184082398E-2</v>
      </c>
    </row>
    <row r="222" spans="1:29" x14ac:dyDescent="0.2">
      <c r="A222" t="s">
        <v>200</v>
      </c>
      <c r="B222" t="s">
        <v>212</v>
      </c>
      <c r="C222">
        <v>4.6268267590210401</v>
      </c>
      <c r="D222">
        <v>21.2755577836549</v>
      </c>
      <c r="E222">
        <v>0.83328503568471801</v>
      </c>
      <c r="F222">
        <v>76.816633882749201</v>
      </c>
      <c r="G222">
        <v>80.816633882749201</v>
      </c>
      <c r="I222" t="s">
        <v>200</v>
      </c>
      <c r="J222" t="s">
        <v>212</v>
      </c>
      <c r="K222">
        <v>7.1707770100372299</v>
      </c>
      <c r="L222">
        <v>20.886784759235798</v>
      </c>
      <c r="M222">
        <v>0.74020823063808205</v>
      </c>
      <c r="N222">
        <v>78.0419278515907</v>
      </c>
      <c r="O222">
        <v>0.89795257731767697</v>
      </c>
      <c r="P222">
        <v>82.0419278515907</v>
      </c>
      <c r="R222" t="s">
        <v>200</v>
      </c>
      <c r="S222" t="s">
        <v>212</v>
      </c>
      <c r="T222">
        <v>4.6268269733696501</v>
      </c>
      <c r="U222">
        <v>21.2755580245333</v>
      </c>
      <c r="V222">
        <v>0.83328502995118503</v>
      </c>
      <c r="W222">
        <v>78.816633924252997</v>
      </c>
      <c r="X222" s="23">
        <v>8.4667308499818997E-9</v>
      </c>
      <c r="Y222">
        <v>82.816633924252997</v>
      </c>
      <c r="AA222" t="str">
        <f t="shared" si="6"/>
        <v xml:space="preserve"> </v>
      </c>
      <c r="AC222">
        <f t="shared" si="7"/>
        <v>0.74020823063808205</v>
      </c>
    </row>
    <row r="223" spans="1:29" x14ac:dyDescent="0.2">
      <c r="A223" t="s">
        <v>200</v>
      </c>
      <c r="B223" t="s">
        <v>213</v>
      </c>
      <c r="C223">
        <v>31.463079877013101</v>
      </c>
      <c r="D223">
        <v>15.3790184394639</v>
      </c>
      <c r="E223">
        <v>7.4990430040073094E-2</v>
      </c>
      <c r="F223">
        <v>72.667542072482703</v>
      </c>
      <c r="G223">
        <v>76.667542072482703</v>
      </c>
      <c r="I223" t="s">
        <v>200</v>
      </c>
      <c r="J223" t="s">
        <v>213</v>
      </c>
      <c r="K223">
        <v>31.463079877013101</v>
      </c>
      <c r="L223">
        <v>15.3790184394639</v>
      </c>
      <c r="M223">
        <v>7.4990430040073094E-2</v>
      </c>
      <c r="N223">
        <v>74.667542072482703</v>
      </c>
      <c r="O223">
        <v>1</v>
      </c>
      <c r="P223">
        <v>78.667542072482703</v>
      </c>
      <c r="R223" t="s">
        <v>200</v>
      </c>
      <c r="S223" t="s">
        <v>213</v>
      </c>
      <c r="T223">
        <v>31.463080531980001</v>
      </c>
      <c r="U223">
        <v>15.379019552141701</v>
      </c>
      <c r="V223">
        <v>7.4990442313828107E-2</v>
      </c>
      <c r="W223">
        <v>74.667542603156804</v>
      </c>
      <c r="X223" s="23">
        <v>2.7555733783633901E-8</v>
      </c>
      <c r="Y223">
        <v>78.667542603156804</v>
      </c>
      <c r="AA223" t="str">
        <f t="shared" si="6"/>
        <v xml:space="preserve"> </v>
      </c>
      <c r="AC223">
        <f t="shared" si="7"/>
        <v>7.4990430040073094E-2</v>
      </c>
    </row>
    <row r="224" spans="1:29" x14ac:dyDescent="0.2">
      <c r="A224" t="s">
        <v>200</v>
      </c>
      <c r="B224" t="s">
        <v>214</v>
      </c>
      <c r="C224">
        <v>6.9976013310981897E-2</v>
      </c>
      <c r="D224">
        <v>4.0981247359993603E-2</v>
      </c>
      <c r="E224">
        <v>0.12611007261802401</v>
      </c>
      <c r="F224">
        <v>73.768062310359198</v>
      </c>
      <c r="G224">
        <v>77.768062310359198</v>
      </c>
      <c r="I224" t="s">
        <v>200</v>
      </c>
      <c r="J224" t="s">
        <v>214</v>
      </c>
      <c r="K224">
        <v>6.9976013310981897E-2</v>
      </c>
      <c r="L224">
        <v>4.0981247359993603E-2</v>
      </c>
      <c r="M224">
        <v>0.12611007261802401</v>
      </c>
      <c r="N224">
        <v>75.768062310359198</v>
      </c>
      <c r="O224">
        <v>1</v>
      </c>
      <c r="P224">
        <v>79.768062310359198</v>
      </c>
      <c r="R224" t="s">
        <v>200</v>
      </c>
      <c r="S224" t="s">
        <v>214</v>
      </c>
      <c r="T224">
        <v>6.9976013049631705E-2</v>
      </c>
      <c r="U224">
        <v>4.0981248375030498E-2</v>
      </c>
      <c r="V224">
        <v>0.12611008191519901</v>
      </c>
      <c r="W224">
        <v>75.768062510323006</v>
      </c>
      <c r="X224" s="23">
        <v>8.4841020409829194E-9</v>
      </c>
      <c r="Y224">
        <v>79.768062510323006</v>
      </c>
      <c r="AA224" t="str">
        <f t="shared" si="6"/>
        <v xml:space="preserve"> </v>
      </c>
      <c r="AC224">
        <f t="shared" si="7"/>
        <v>0.12611007261802401</v>
      </c>
    </row>
    <row r="225" spans="1:29" x14ac:dyDescent="0.2">
      <c r="A225" t="s">
        <v>200</v>
      </c>
      <c r="B225" t="s">
        <v>215</v>
      </c>
      <c r="C225">
        <v>0.74501099201138699</v>
      </c>
      <c r="D225">
        <v>8.7749807788727896</v>
      </c>
      <c r="E225">
        <v>0.93442578855009695</v>
      </c>
      <c r="F225">
        <v>76.866570802846994</v>
      </c>
      <c r="G225">
        <v>80.866570802846994</v>
      </c>
      <c r="I225" t="s">
        <v>200</v>
      </c>
      <c r="J225" t="s">
        <v>215</v>
      </c>
      <c r="K225">
        <v>4.5407744057198602</v>
      </c>
      <c r="L225">
        <v>8.61102910410772</v>
      </c>
      <c r="M225">
        <v>0.61227732610931596</v>
      </c>
      <c r="N225">
        <v>77.927778247325307</v>
      </c>
      <c r="O225">
        <v>0.85545384934819901</v>
      </c>
      <c r="P225">
        <v>81.927778247325307</v>
      </c>
      <c r="R225" t="s">
        <v>200</v>
      </c>
      <c r="S225" t="s">
        <v>215</v>
      </c>
      <c r="T225">
        <v>0.74501153014598698</v>
      </c>
      <c r="U225">
        <v>8.7749808517776895</v>
      </c>
      <c r="V225">
        <v>0.93442574185585103</v>
      </c>
      <c r="W225">
        <v>78.866570835609906</v>
      </c>
      <c r="X225" s="23">
        <v>8.4667308499818997E-9</v>
      </c>
      <c r="Y225">
        <v>82.866570835609906</v>
      </c>
      <c r="AA225" t="str">
        <f t="shared" si="6"/>
        <v xml:space="preserve"> </v>
      </c>
      <c r="AC225">
        <f t="shared" si="7"/>
        <v>0.61227732610931596</v>
      </c>
    </row>
    <row r="226" spans="1:29" x14ac:dyDescent="0.2">
      <c r="A226" t="s">
        <v>200</v>
      </c>
      <c r="B226" t="s">
        <v>25</v>
      </c>
      <c r="C226">
        <v>3.3214246502456503E-2</v>
      </c>
      <c r="D226">
        <v>1.9294735014076199E-2</v>
      </c>
      <c r="E226">
        <v>0.123480274850681</v>
      </c>
      <c r="F226">
        <v>73.724486919898894</v>
      </c>
      <c r="G226">
        <v>77.724486919898894</v>
      </c>
      <c r="I226" t="s">
        <v>200</v>
      </c>
      <c r="J226" t="s">
        <v>25</v>
      </c>
      <c r="K226">
        <v>3.3214246502456503E-2</v>
      </c>
      <c r="L226">
        <v>1.9294735014076199E-2</v>
      </c>
      <c r="M226">
        <v>0.123480274850681</v>
      </c>
      <c r="N226">
        <v>75.724486919898894</v>
      </c>
      <c r="O226">
        <v>1</v>
      </c>
      <c r="P226">
        <v>79.724486919898894</v>
      </c>
      <c r="R226" t="s">
        <v>200</v>
      </c>
      <c r="S226" t="s">
        <v>25</v>
      </c>
      <c r="T226">
        <v>3.32142460341667E-2</v>
      </c>
      <c r="U226">
        <v>1.9294735785752401E-2</v>
      </c>
      <c r="V226">
        <v>0.12348029229306499</v>
      </c>
      <c r="W226">
        <v>75.7244872988081</v>
      </c>
      <c r="X226" s="23">
        <v>1.2626508450579199E-8</v>
      </c>
      <c r="Y226">
        <v>79.7244872988081</v>
      </c>
      <c r="AA226" t="str">
        <f t="shared" si="6"/>
        <v xml:space="preserve"> </v>
      </c>
      <c r="AC226">
        <f t="shared" si="7"/>
        <v>0.123480274850681</v>
      </c>
    </row>
    <row r="227" spans="1:29" x14ac:dyDescent="0.2">
      <c r="A227" t="s">
        <v>200</v>
      </c>
      <c r="B227" t="s">
        <v>24</v>
      </c>
      <c r="C227">
        <v>-2.15555334001442</v>
      </c>
      <c r="D227">
        <v>11.548763723571501</v>
      </c>
      <c r="E227">
        <v>0.85658301195459496</v>
      </c>
      <c r="F227">
        <v>76.8321248339265</v>
      </c>
      <c r="G227">
        <v>80.8321248339265</v>
      </c>
      <c r="I227" t="s">
        <v>200</v>
      </c>
      <c r="J227" t="s">
        <v>24</v>
      </c>
      <c r="K227">
        <v>-4.4401910934346196</v>
      </c>
      <c r="L227">
        <v>11.216515357111099</v>
      </c>
      <c r="M227">
        <v>0.70255471197869501</v>
      </c>
      <c r="N227">
        <v>78.008653397286807</v>
      </c>
      <c r="O227">
        <v>0.88337261387884503</v>
      </c>
      <c r="P227">
        <v>82.008653397286807</v>
      </c>
      <c r="R227" t="s">
        <v>200</v>
      </c>
      <c r="S227" t="s">
        <v>24</v>
      </c>
      <c r="T227">
        <v>-2.1555584256089899</v>
      </c>
      <c r="U227">
        <v>11.548764759236001</v>
      </c>
      <c r="V227">
        <v>0.85658269067162496</v>
      </c>
      <c r="W227">
        <v>78.832125215933601</v>
      </c>
      <c r="X227" s="23">
        <v>9.2269731661707904E-8</v>
      </c>
      <c r="Y227">
        <v>82.832125215933601</v>
      </c>
      <c r="AA227" t="str">
        <f t="shared" si="6"/>
        <v xml:space="preserve"> </v>
      </c>
      <c r="AC227">
        <f t="shared" si="7"/>
        <v>0.70255471197869501</v>
      </c>
    </row>
    <row r="228" spans="1:29" x14ac:dyDescent="0.2">
      <c r="A228" t="s">
        <v>200</v>
      </c>
      <c r="B228" t="s">
        <v>23</v>
      </c>
      <c r="C228">
        <v>1.5668574347962301</v>
      </c>
      <c r="D228">
        <v>1.9273276504277901</v>
      </c>
      <c r="E228">
        <v>0.439757574411407</v>
      </c>
      <c r="F228">
        <v>76.081784831068603</v>
      </c>
      <c r="G228">
        <v>80.081784831068603</v>
      </c>
      <c r="I228" t="s">
        <v>200</v>
      </c>
      <c r="J228" t="s">
        <v>23</v>
      </c>
      <c r="K228">
        <v>1.63249643974626</v>
      </c>
      <c r="L228">
        <v>1.87927489337292</v>
      </c>
      <c r="M228">
        <v>0.410322144610415</v>
      </c>
      <c r="N228">
        <v>77.299539753088894</v>
      </c>
      <c r="O228">
        <v>0.88452657789946598</v>
      </c>
      <c r="P228">
        <v>81.299539753088894</v>
      </c>
      <c r="R228" t="s">
        <v>200</v>
      </c>
      <c r="S228" t="s">
        <v>23</v>
      </c>
      <c r="T228">
        <v>1.5668576215580401</v>
      </c>
      <c r="U228">
        <v>1.92732770650674</v>
      </c>
      <c r="V228">
        <v>0.43975753477801</v>
      </c>
      <c r="W228">
        <v>78.081784884114199</v>
      </c>
      <c r="X228" s="23">
        <v>3.04033808073512E-8</v>
      </c>
      <c r="Y228">
        <v>82.081784884114199</v>
      </c>
      <c r="AA228" t="str">
        <f t="shared" si="6"/>
        <v xml:space="preserve"> </v>
      </c>
      <c r="AC228">
        <f t="shared" si="7"/>
        <v>0.410322144610415</v>
      </c>
    </row>
    <row r="229" spans="1:29" x14ac:dyDescent="0.2">
      <c r="A229" t="s">
        <v>200</v>
      </c>
      <c r="B229" t="s">
        <v>220</v>
      </c>
      <c r="C229">
        <v>3.2654820947399499E-3</v>
      </c>
      <c r="D229">
        <v>9.4933474271356403E-3</v>
      </c>
      <c r="E229">
        <v>0.73973081532597096</v>
      </c>
      <c r="F229">
        <v>76.728760949885498</v>
      </c>
      <c r="G229">
        <v>80.728760949885498</v>
      </c>
      <c r="I229" t="s">
        <v>200</v>
      </c>
      <c r="J229" t="s">
        <v>220</v>
      </c>
      <c r="K229">
        <v>3.83705652910762E-4</v>
      </c>
      <c r="L229">
        <v>9.4946447136670508E-3</v>
      </c>
      <c r="M229">
        <v>0.96875434881490896</v>
      </c>
      <c r="N229">
        <v>78.185410818046904</v>
      </c>
      <c r="O229">
        <v>0.90591201558982604</v>
      </c>
      <c r="P229">
        <v>82.185410818046904</v>
      </c>
      <c r="R229" t="s">
        <v>200</v>
      </c>
      <c r="S229" t="s">
        <v>220</v>
      </c>
      <c r="T229">
        <v>3.2654813344426799E-3</v>
      </c>
      <c r="U229">
        <v>9.4933476289488904E-3</v>
      </c>
      <c r="V229">
        <v>0.73973087859928499</v>
      </c>
      <c r="W229">
        <v>78.728761107982393</v>
      </c>
      <c r="X229" s="23">
        <v>1.3702254879245901E-8</v>
      </c>
      <c r="Y229">
        <v>82.728761107982393</v>
      </c>
      <c r="AA229" t="str">
        <f t="shared" si="6"/>
        <v xml:space="preserve"> </v>
      </c>
      <c r="AC229">
        <f t="shared" si="7"/>
        <v>0.73973081532597096</v>
      </c>
    </row>
    <row r="230" spans="1:29" x14ac:dyDescent="0.2">
      <c r="A230" t="s">
        <v>201</v>
      </c>
      <c r="B230" t="s">
        <v>202</v>
      </c>
      <c r="C230">
        <v>-9.3747764739034594</v>
      </c>
      <c r="D230">
        <v>18.653512153386501</v>
      </c>
      <c r="E230">
        <v>0.62880376798078097</v>
      </c>
      <c r="F230">
        <v>117.37651180182</v>
      </c>
      <c r="G230">
        <v>121.37651180182</v>
      </c>
      <c r="I230" t="s">
        <v>201</v>
      </c>
      <c r="J230" t="s">
        <v>202</v>
      </c>
      <c r="K230">
        <v>-1.2256739086751101</v>
      </c>
      <c r="L230">
        <v>9.3615499961580095</v>
      </c>
      <c r="M230">
        <v>0.89906609378555302</v>
      </c>
      <c r="N230">
        <v>116.471771406146</v>
      </c>
      <c r="O230" s="23">
        <v>9.9999999999999903E-8</v>
      </c>
      <c r="P230">
        <v>120.471771406146</v>
      </c>
      <c r="R230" t="s">
        <v>201</v>
      </c>
      <c r="S230" t="s">
        <v>202</v>
      </c>
      <c r="T230">
        <v>-1.8376794917441299</v>
      </c>
      <c r="U230">
        <v>9.6412482931946499</v>
      </c>
      <c r="V230">
        <v>0.85358242856199396</v>
      </c>
      <c r="W230">
        <v>116.344788211477</v>
      </c>
      <c r="X230">
        <v>0.59823735979393999</v>
      </c>
      <c r="Y230">
        <v>120.344788211477</v>
      </c>
      <c r="AA230" t="str">
        <f t="shared" si="6"/>
        <v xml:space="preserve"> </v>
      </c>
      <c r="AC230">
        <f t="shared" si="7"/>
        <v>0.62880376798078097</v>
      </c>
    </row>
    <row r="231" spans="1:29" x14ac:dyDescent="0.2">
      <c r="A231" t="s">
        <v>201</v>
      </c>
      <c r="B231" t="s">
        <v>203</v>
      </c>
      <c r="C231">
        <v>-4.6850016751869998E-2</v>
      </c>
      <c r="D231">
        <v>3.9070925878543897E-2</v>
      </c>
      <c r="E231">
        <v>0.26479712505932401</v>
      </c>
      <c r="F231">
        <v>116.03449497110699</v>
      </c>
      <c r="G231">
        <v>120.03449497110699</v>
      </c>
      <c r="I231" t="s">
        <v>201</v>
      </c>
      <c r="J231" t="s">
        <v>203</v>
      </c>
      <c r="K231">
        <v>-2.7801438004338399E-2</v>
      </c>
      <c r="L231">
        <v>3.26489687593155E-2</v>
      </c>
      <c r="M231">
        <v>0.41923534006747898</v>
      </c>
      <c r="N231">
        <v>115.62555619726101</v>
      </c>
      <c r="O231" s="23">
        <v>9.9999999999999903E-8</v>
      </c>
      <c r="P231">
        <v>119.62555619726101</v>
      </c>
      <c r="R231" t="s">
        <v>201</v>
      </c>
      <c r="S231" t="s">
        <v>203</v>
      </c>
      <c r="T231">
        <v>-2.81556509898854E-2</v>
      </c>
      <c r="U231">
        <v>3.3629498049649903E-2</v>
      </c>
      <c r="V231">
        <v>0.42676442361425398</v>
      </c>
      <c r="W231">
        <v>115.55637558098</v>
      </c>
      <c r="X231">
        <v>0.55068578735020002</v>
      </c>
      <c r="Y231">
        <v>119.55637558098</v>
      </c>
      <c r="AA231" t="str">
        <f t="shared" si="6"/>
        <v xml:space="preserve"> </v>
      </c>
      <c r="AC231">
        <f t="shared" si="7"/>
        <v>0.26479712505932401</v>
      </c>
    </row>
    <row r="232" spans="1:29" x14ac:dyDescent="0.2">
      <c r="A232" t="s">
        <v>201</v>
      </c>
      <c r="B232" t="s">
        <v>204</v>
      </c>
      <c r="C232">
        <v>53.863765874130998</v>
      </c>
      <c r="D232">
        <v>44.002881617079403</v>
      </c>
      <c r="E232">
        <v>0.25573970493018899</v>
      </c>
      <c r="F232">
        <v>115.97052567364101</v>
      </c>
      <c r="G232">
        <v>119.97052567364101</v>
      </c>
      <c r="I232" t="s">
        <v>201</v>
      </c>
      <c r="J232" t="s">
        <v>204</v>
      </c>
      <c r="K232">
        <v>49.354062353519303</v>
      </c>
      <c r="L232">
        <v>48.9780190259387</v>
      </c>
      <c r="M232">
        <v>0.34311186651109299</v>
      </c>
      <c r="N232">
        <v>115.29823265348401</v>
      </c>
      <c r="O232" s="23">
        <v>9.9999999999999903E-8</v>
      </c>
      <c r="P232">
        <v>119.29823265348401</v>
      </c>
      <c r="R232" t="s">
        <v>201</v>
      </c>
      <c r="S232" t="s">
        <v>204</v>
      </c>
      <c r="T232">
        <v>47.733076126551197</v>
      </c>
      <c r="U232">
        <v>48.979750559969197</v>
      </c>
      <c r="V232">
        <v>0.35832774981837301</v>
      </c>
      <c r="W232">
        <v>115.267422838947</v>
      </c>
      <c r="X232">
        <v>0.62418887771760601</v>
      </c>
      <c r="Y232">
        <v>119.267422838947</v>
      </c>
      <c r="AA232" t="str">
        <f t="shared" si="6"/>
        <v xml:space="preserve"> </v>
      </c>
      <c r="AC232">
        <f t="shared" si="7"/>
        <v>0.25573970493018899</v>
      </c>
    </row>
    <row r="233" spans="1:29" x14ac:dyDescent="0.2">
      <c r="A233" t="s">
        <v>201</v>
      </c>
      <c r="B233" t="s">
        <v>206</v>
      </c>
      <c r="C233">
        <v>-6.3887414305587198</v>
      </c>
      <c r="D233">
        <v>5.2545795377636404</v>
      </c>
      <c r="E233">
        <v>0.25870186266829798</v>
      </c>
      <c r="F233">
        <v>115.99175035403201</v>
      </c>
      <c r="G233">
        <v>119.99175035403201</v>
      </c>
      <c r="I233" t="s">
        <v>201</v>
      </c>
      <c r="J233" t="s">
        <v>206</v>
      </c>
      <c r="K233">
        <v>-5.0320891522726203</v>
      </c>
      <c r="L233">
        <v>4.6863624240154902</v>
      </c>
      <c r="M233">
        <v>0.31424188480921</v>
      </c>
      <c r="N233">
        <v>115.146786860118</v>
      </c>
      <c r="O233" s="23">
        <v>9.9999999999999903E-8</v>
      </c>
      <c r="P233">
        <v>119.146786860118</v>
      </c>
      <c r="R233" t="s">
        <v>201</v>
      </c>
      <c r="S233" t="s">
        <v>206</v>
      </c>
      <c r="T233">
        <v>-5.0673617535786901</v>
      </c>
      <c r="U233">
        <v>4.79043093391601</v>
      </c>
      <c r="V233">
        <v>0.32103488966466598</v>
      </c>
      <c r="W233">
        <v>115.082673720381</v>
      </c>
      <c r="X233">
        <v>0.578644022354735</v>
      </c>
      <c r="Y233">
        <v>119.082673720381</v>
      </c>
      <c r="AA233" t="str">
        <f t="shared" si="6"/>
        <v xml:space="preserve"> </v>
      </c>
      <c r="AC233">
        <f t="shared" si="7"/>
        <v>0.25870186266829798</v>
      </c>
    </row>
    <row r="234" spans="1:29" x14ac:dyDescent="0.2">
      <c r="A234" t="s">
        <v>201</v>
      </c>
      <c r="B234" t="s">
        <v>205</v>
      </c>
      <c r="C234">
        <v>108.926756155631</v>
      </c>
      <c r="D234">
        <v>96.332057037751696</v>
      </c>
      <c r="E234">
        <v>0.29092051844750599</v>
      </c>
      <c r="F234">
        <v>116.20468795422801</v>
      </c>
      <c r="G234">
        <v>120.20468795422801</v>
      </c>
      <c r="I234" t="s">
        <v>201</v>
      </c>
      <c r="J234" t="s">
        <v>205</v>
      </c>
      <c r="K234">
        <v>58.1599325122165</v>
      </c>
      <c r="L234">
        <v>65.685306998326894</v>
      </c>
      <c r="M234">
        <v>0.40175252033801101</v>
      </c>
      <c r="N234">
        <v>115.558281947456</v>
      </c>
      <c r="O234" s="23">
        <v>9.9999999999999903E-8</v>
      </c>
      <c r="P234">
        <v>119.558281947456</v>
      </c>
      <c r="R234" t="s">
        <v>201</v>
      </c>
      <c r="S234" t="s">
        <v>205</v>
      </c>
      <c r="T234">
        <v>57.614239751570501</v>
      </c>
      <c r="U234">
        <v>68.234890864823498</v>
      </c>
      <c r="V234">
        <v>0.42300219272081402</v>
      </c>
      <c r="W234">
        <v>115.54852944668001</v>
      </c>
      <c r="X234">
        <v>0.77565904749118697</v>
      </c>
      <c r="Y234">
        <v>119.54852944668001</v>
      </c>
      <c r="AA234" t="str">
        <f t="shared" si="6"/>
        <v xml:space="preserve"> </v>
      </c>
      <c r="AC234">
        <f t="shared" si="7"/>
        <v>0.29092051844750599</v>
      </c>
    </row>
    <row r="235" spans="1:29" x14ac:dyDescent="0.2">
      <c r="A235" t="s">
        <v>201</v>
      </c>
      <c r="B235" t="s">
        <v>207</v>
      </c>
      <c r="C235">
        <v>0.28557180515448199</v>
      </c>
      <c r="D235">
        <v>0.41213957983720401</v>
      </c>
      <c r="E235">
        <v>0.507983937740485</v>
      </c>
      <c r="F235">
        <v>117.104535906911</v>
      </c>
      <c r="G235">
        <v>121.104535906911</v>
      </c>
      <c r="I235" t="s">
        <v>201</v>
      </c>
      <c r="J235" t="s">
        <v>207</v>
      </c>
      <c r="K235">
        <v>0.44176683606185901</v>
      </c>
      <c r="L235">
        <v>0.45855948830242999</v>
      </c>
      <c r="M235">
        <v>0.363569685419247</v>
      </c>
      <c r="N235">
        <v>115.39555479646</v>
      </c>
      <c r="O235" s="23">
        <v>9.9999999999999903E-8</v>
      </c>
      <c r="P235">
        <v>119.39555479646</v>
      </c>
      <c r="R235" t="s">
        <v>201</v>
      </c>
      <c r="S235" t="s">
        <v>207</v>
      </c>
      <c r="T235">
        <v>0.44694243693254199</v>
      </c>
      <c r="U235">
        <v>0.45058542578984601</v>
      </c>
      <c r="V235">
        <v>0.35028881428466502</v>
      </c>
      <c r="W235">
        <v>115.22944898326401</v>
      </c>
      <c r="X235">
        <v>0.61580605901482899</v>
      </c>
      <c r="Y235">
        <v>119.22944898326401</v>
      </c>
      <c r="AA235" t="str">
        <f t="shared" si="6"/>
        <v xml:space="preserve"> </v>
      </c>
      <c r="AC235">
        <f t="shared" si="7"/>
        <v>0.35028881428466502</v>
      </c>
    </row>
    <row r="236" spans="1:29" x14ac:dyDescent="0.2">
      <c r="A236" t="s">
        <v>201</v>
      </c>
      <c r="B236" t="s">
        <v>208</v>
      </c>
      <c r="C236">
        <v>-1.2802203040937901</v>
      </c>
      <c r="D236">
        <v>27.6193874621151</v>
      </c>
      <c r="E236">
        <v>0.96416570840471705</v>
      </c>
      <c r="F236">
        <v>117.684671037393</v>
      </c>
      <c r="G236">
        <v>121.684671037393</v>
      </c>
      <c r="I236" t="s">
        <v>201</v>
      </c>
      <c r="J236" t="s">
        <v>208</v>
      </c>
      <c r="K236">
        <v>19.988887870913501</v>
      </c>
      <c r="L236">
        <v>27.418892010998199</v>
      </c>
      <c r="M236">
        <v>0.48678162385277801</v>
      </c>
      <c r="N236">
        <v>115.849976107107</v>
      </c>
      <c r="O236" s="23">
        <v>9.9999999999999903E-8</v>
      </c>
      <c r="P236">
        <v>119.849976107107</v>
      </c>
      <c r="R236" t="s">
        <v>201</v>
      </c>
      <c r="S236" t="s">
        <v>208</v>
      </c>
      <c r="T236">
        <v>19.9884317686755</v>
      </c>
      <c r="U236">
        <v>27.4190758873434</v>
      </c>
      <c r="V236">
        <v>0.48679408664344198</v>
      </c>
      <c r="W236">
        <v>115.849989848669</v>
      </c>
      <c r="X236">
        <v>4.23336542499095</v>
      </c>
      <c r="Y236">
        <v>119.849989848669</v>
      </c>
      <c r="AA236" t="str">
        <f t="shared" si="6"/>
        <v xml:space="preserve"> </v>
      </c>
      <c r="AC236">
        <f t="shared" si="7"/>
        <v>0.48678162385277801</v>
      </c>
    </row>
    <row r="237" spans="1:29" x14ac:dyDescent="0.2">
      <c r="A237" t="s">
        <v>201</v>
      </c>
      <c r="B237" t="s">
        <v>209</v>
      </c>
      <c r="C237">
        <v>0.376100264906092</v>
      </c>
      <c r="D237">
        <v>0.119087767800224</v>
      </c>
      <c r="E237">
        <v>1.3431825295924E-2</v>
      </c>
      <c r="F237">
        <v>109.592463000224</v>
      </c>
      <c r="G237">
        <v>113.592463000224</v>
      </c>
      <c r="I237" t="s">
        <v>201</v>
      </c>
      <c r="J237" t="s">
        <v>209</v>
      </c>
      <c r="K237">
        <v>0.35188864014722698</v>
      </c>
      <c r="L237">
        <v>0.15492009458901901</v>
      </c>
      <c r="M237">
        <v>5.2773322446299703E-2</v>
      </c>
      <c r="N237">
        <v>111.516265754646</v>
      </c>
      <c r="O237" s="23">
        <v>9.9999999999999903E-8</v>
      </c>
      <c r="P237">
        <v>115.516265754646</v>
      </c>
      <c r="R237" t="s">
        <v>201</v>
      </c>
      <c r="S237" t="s">
        <v>209</v>
      </c>
      <c r="T237">
        <v>0.37504450428723402</v>
      </c>
      <c r="U237">
        <v>0.13836322675000001</v>
      </c>
      <c r="V237">
        <v>2.6634202938378801E-2</v>
      </c>
      <c r="W237">
        <v>110.40617852496899</v>
      </c>
      <c r="X237">
        <v>0.249554136254552</v>
      </c>
      <c r="Y237">
        <v>114.40617852496899</v>
      </c>
      <c r="AA237" t="str">
        <f t="shared" si="6"/>
        <v xml:space="preserve"> </v>
      </c>
      <c r="AC237">
        <f t="shared" si="7"/>
        <v>1.3431825295924E-2</v>
      </c>
    </row>
    <row r="238" spans="1:29" x14ac:dyDescent="0.2">
      <c r="A238" t="s">
        <v>201</v>
      </c>
      <c r="B238" t="s">
        <v>210</v>
      </c>
      <c r="C238">
        <v>71.743490680786906</v>
      </c>
      <c r="D238">
        <v>28.204901886248098</v>
      </c>
      <c r="E238">
        <v>3.4513937875955997E-2</v>
      </c>
      <c r="F238">
        <v>111.76087754121799</v>
      </c>
      <c r="G238">
        <v>115.76087754121799</v>
      </c>
      <c r="I238" t="s">
        <v>201</v>
      </c>
      <c r="J238" t="s">
        <v>210</v>
      </c>
      <c r="K238">
        <v>96.566536939371005</v>
      </c>
      <c r="L238">
        <v>37.090625204003103</v>
      </c>
      <c r="M238">
        <v>3.1444862504347998E-2</v>
      </c>
      <c r="N238">
        <v>110.35594759372199</v>
      </c>
      <c r="O238" s="23">
        <v>9.9999999999999903E-8</v>
      </c>
      <c r="P238">
        <v>114.35594759372199</v>
      </c>
      <c r="R238" t="s">
        <v>201</v>
      </c>
      <c r="S238" t="s">
        <v>210</v>
      </c>
      <c r="T238">
        <v>94.562568137152994</v>
      </c>
      <c r="U238">
        <v>36.544918855560603</v>
      </c>
      <c r="V238">
        <v>3.22346121269005E-2</v>
      </c>
      <c r="W238">
        <v>110.33532856607</v>
      </c>
      <c r="X238">
        <v>0.87429540598076205</v>
      </c>
      <c r="Y238">
        <v>114.33532856607</v>
      </c>
      <c r="AA238" t="str">
        <f t="shared" si="6"/>
        <v xml:space="preserve"> </v>
      </c>
      <c r="AC238">
        <f t="shared" si="7"/>
        <v>3.1444862504347998E-2</v>
      </c>
    </row>
    <row r="239" spans="1:29" x14ac:dyDescent="0.2">
      <c r="A239" t="s">
        <v>201</v>
      </c>
      <c r="B239" t="s">
        <v>4</v>
      </c>
      <c r="C239">
        <v>27.393695950752001</v>
      </c>
      <c r="D239">
        <v>36.058080361180103</v>
      </c>
      <c r="E239">
        <v>0.46922092906795798</v>
      </c>
      <c r="F239">
        <v>116.990743450727</v>
      </c>
      <c r="G239">
        <v>120.990743450727</v>
      </c>
      <c r="I239" t="s">
        <v>201</v>
      </c>
      <c r="J239" t="s">
        <v>4</v>
      </c>
      <c r="K239">
        <v>14.245206478181</v>
      </c>
      <c r="L239">
        <v>39.7789234073187</v>
      </c>
      <c r="M239">
        <v>0.72952666363279095</v>
      </c>
      <c r="N239">
        <v>116.334143984528</v>
      </c>
      <c r="O239" s="23">
        <v>9.9999999999999903E-8</v>
      </c>
      <c r="P239">
        <v>120.334143984528</v>
      </c>
      <c r="R239" t="s">
        <v>201</v>
      </c>
      <c r="S239" t="s">
        <v>4</v>
      </c>
      <c r="T239">
        <v>16.481852924014898</v>
      </c>
      <c r="U239">
        <v>39.559448730442199</v>
      </c>
      <c r="V239">
        <v>0.687899511692457</v>
      </c>
      <c r="W239">
        <v>116.181025830134</v>
      </c>
      <c r="X239">
        <v>0.55364716981029805</v>
      </c>
      <c r="Y239">
        <v>120.181025830134</v>
      </c>
      <c r="AA239" t="str">
        <f t="shared" si="6"/>
        <v xml:space="preserve"> </v>
      </c>
      <c r="AC239">
        <f t="shared" si="7"/>
        <v>0.46922092906795798</v>
      </c>
    </row>
    <row r="240" spans="1:29" x14ac:dyDescent="0.2">
      <c r="A240" t="s">
        <v>201</v>
      </c>
      <c r="B240" t="s">
        <v>3</v>
      </c>
      <c r="C240">
        <v>-269.51541109833602</v>
      </c>
      <c r="D240">
        <v>375.95610192512498</v>
      </c>
      <c r="E240">
        <v>0.49384310255876102</v>
      </c>
      <c r="F240">
        <v>117.06475064218399</v>
      </c>
      <c r="G240">
        <v>121.06475064218399</v>
      </c>
      <c r="I240" t="s">
        <v>201</v>
      </c>
      <c r="J240" t="s">
        <v>3</v>
      </c>
      <c r="K240">
        <v>-97.016540092190596</v>
      </c>
      <c r="L240">
        <v>388.30266374627303</v>
      </c>
      <c r="M240">
        <v>0.80900115857982702</v>
      </c>
      <c r="N240">
        <v>116.41544862762601</v>
      </c>
      <c r="O240" s="23">
        <v>9.9999999999999903E-8</v>
      </c>
      <c r="P240">
        <v>120.41544862762601</v>
      </c>
      <c r="R240" t="s">
        <v>201</v>
      </c>
      <c r="S240" t="s">
        <v>3</v>
      </c>
      <c r="T240">
        <v>-120.864020364956</v>
      </c>
      <c r="U240">
        <v>389.179304471178</v>
      </c>
      <c r="V240">
        <v>0.76407126347410304</v>
      </c>
      <c r="W240">
        <v>116.273546717145</v>
      </c>
      <c r="X240">
        <v>0.56684060659798696</v>
      </c>
      <c r="Y240">
        <v>120.273546717145</v>
      </c>
      <c r="AA240" t="str">
        <f t="shared" si="6"/>
        <v xml:space="preserve"> </v>
      </c>
      <c r="AC240">
        <f t="shared" si="7"/>
        <v>0.49384310255876102</v>
      </c>
    </row>
    <row r="241" spans="1:29" x14ac:dyDescent="0.2">
      <c r="A241" t="s">
        <v>201</v>
      </c>
      <c r="B241" t="s">
        <v>211</v>
      </c>
      <c r="C241">
        <v>55.374237320629703</v>
      </c>
      <c r="D241">
        <v>63.735357419859803</v>
      </c>
      <c r="E241">
        <v>0.41025470563524402</v>
      </c>
      <c r="F241">
        <v>116.785705332807</v>
      </c>
      <c r="G241">
        <v>120.785705332807</v>
      </c>
      <c r="I241" t="s">
        <v>201</v>
      </c>
      <c r="J241" t="s">
        <v>211</v>
      </c>
      <c r="K241">
        <v>96.570875044005305</v>
      </c>
      <c r="L241">
        <v>105.690811031813</v>
      </c>
      <c r="M241">
        <v>0.38757696202045999</v>
      </c>
      <c r="N241">
        <v>115.500529272694</v>
      </c>
      <c r="O241" s="23">
        <v>9.9999999999999903E-8</v>
      </c>
      <c r="P241">
        <v>119.500529272694</v>
      </c>
      <c r="R241" t="s">
        <v>201</v>
      </c>
      <c r="S241" t="s">
        <v>211</v>
      </c>
      <c r="T241">
        <v>90.271624778979699</v>
      </c>
      <c r="U241">
        <v>102.18434040039701</v>
      </c>
      <c r="V241">
        <v>0.40277593805810602</v>
      </c>
      <c r="W241">
        <v>115.493784695969</v>
      </c>
      <c r="X241">
        <v>0.93232225194274498</v>
      </c>
      <c r="Y241">
        <v>119.493784695969</v>
      </c>
      <c r="AA241" t="str">
        <f t="shared" si="6"/>
        <v xml:space="preserve"> </v>
      </c>
      <c r="AC241">
        <f t="shared" si="7"/>
        <v>0.38757696202045999</v>
      </c>
    </row>
    <row r="242" spans="1:29" x14ac:dyDescent="0.2">
      <c r="A242" t="s">
        <v>201</v>
      </c>
      <c r="B242" t="s">
        <v>212</v>
      </c>
      <c r="C242">
        <v>-188.15254772331301</v>
      </c>
      <c r="D242">
        <v>150.123271866153</v>
      </c>
      <c r="E242">
        <v>0.24547753952644999</v>
      </c>
      <c r="F242">
        <v>115.894591425158</v>
      </c>
      <c r="G242">
        <v>119.894591425158</v>
      </c>
      <c r="I242" t="s">
        <v>201</v>
      </c>
      <c r="J242" t="s">
        <v>212</v>
      </c>
      <c r="K242">
        <v>-117.00858792874</v>
      </c>
      <c r="L242">
        <v>166.375669905286</v>
      </c>
      <c r="M242">
        <v>0.50183242609244305</v>
      </c>
      <c r="N242">
        <v>115.893282053153</v>
      </c>
      <c r="O242" s="23">
        <v>9.9999999999999903E-8</v>
      </c>
      <c r="P242">
        <v>119.893282053153</v>
      </c>
      <c r="R242" t="s">
        <v>201</v>
      </c>
      <c r="S242" t="s">
        <v>212</v>
      </c>
      <c r="T242">
        <v>-130.14637543516099</v>
      </c>
      <c r="U242">
        <v>163.91321459136799</v>
      </c>
      <c r="V242">
        <v>0.45010600680662</v>
      </c>
      <c r="W242">
        <v>115.669474240591</v>
      </c>
      <c r="X242">
        <v>0.47153711754186201</v>
      </c>
      <c r="Y242">
        <v>119.669474240591</v>
      </c>
      <c r="AA242" t="str">
        <f t="shared" si="6"/>
        <v xml:space="preserve"> </v>
      </c>
      <c r="AC242">
        <f t="shared" si="7"/>
        <v>0.24547753952644999</v>
      </c>
    </row>
    <row r="243" spans="1:29" x14ac:dyDescent="0.2">
      <c r="A243" t="s">
        <v>201</v>
      </c>
      <c r="B243" t="s">
        <v>213</v>
      </c>
      <c r="C243">
        <v>156.02419738209301</v>
      </c>
      <c r="D243">
        <v>135.23909866742801</v>
      </c>
      <c r="E243">
        <v>0.28192712977520101</v>
      </c>
      <c r="F243">
        <v>116.14834550585</v>
      </c>
      <c r="G243">
        <v>120.14834550585</v>
      </c>
      <c r="I243" t="s">
        <v>201</v>
      </c>
      <c r="J243" t="s">
        <v>213</v>
      </c>
      <c r="K243">
        <v>145.97745794560799</v>
      </c>
      <c r="L243">
        <v>137.41511818618099</v>
      </c>
      <c r="M243">
        <v>0.319108125402711</v>
      </c>
      <c r="N243">
        <v>115.173574330379</v>
      </c>
      <c r="O243" s="23">
        <v>9.9999999999999903E-8</v>
      </c>
      <c r="P243">
        <v>119.173574330379</v>
      </c>
      <c r="R243" t="s">
        <v>201</v>
      </c>
      <c r="S243" t="s">
        <v>213</v>
      </c>
      <c r="T243">
        <v>145.97688659703701</v>
      </c>
      <c r="U243">
        <v>137.41585830007099</v>
      </c>
      <c r="V243">
        <v>0.31911234470421801</v>
      </c>
      <c r="W243">
        <v>115.173574282373</v>
      </c>
      <c r="X243">
        <v>4.23336542499095</v>
      </c>
      <c r="Y243">
        <v>119.173574282373</v>
      </c>
      <c r="AA243" t="str">
        <f t="shared" si="6"/>
        <v xml:space="preserve"> </v>
      </c>
      <c r="AC243">
        <f t="shared" si="7"/>
        <v>0.28192712977520101</v>
      </c>
    </row>
    <row r="244" spans="1:29" x14ac:dyDescent="0.2">
      <c r="A244" t="s">
        <v>201</v>
      </c>
      <c r="B244" t="s">
        <v>214</v>
      </c>
      <c r="C244">
        <v>0.40588085217484998</v>
      </c>
      <c r="D244">
        <v>0.33926644178573701</v>
      </c>
      <c r="E244">
        <v>0.26581088626508198</v>
      </c>
      <c r="F244">
        <v>116.041485951005</v>
      </c>
      <c r="G244">
        <v>120.041485951005</v>
      </c>
      <c r="I244" t="s">
        <v>201</v>
      </c>
      <c r="J244" t="s">
        <v>214</v>
      </c>
      <c r="K244">
        <v>0.42889699832211098</v>
      </c>
      <c r="L244">
        <v>0.38612061566942701</v>
      </c>
      <c r="M244">
        <v>0.29892788286260702</v>
      </c>
      <c r="N244">
        <v>115.05883742586801</v>
      </c>
      <c r="O244" s="23">
        <v>9.9999999999999903E-8</v>
      </c>
      <c r="P244">
        <v>119.05883742586801</v>
      </c>
      <c r="R244" t="s">
        <v>201</v>
      </c>
      <c r="S244" t="s">
        <v>214</v>
      </c>
      <c r="T244">
        <v>0.42889500331806601</v>
      </c>
      <c r="U244">
        <v>0.38612223503792098</v>
      </c>
      <c r="V244">
        <v>0.29893186793058302</v>
      </c>
      <c r="W244">
        <v>115.058838022839</v>
      </c>
      <c r="X244">
        <v>4.23336542499095</v>
      </c>
      <c r="Y244">
        <v>119.058838022839</v>
      </c>
      <c r="AA244" t="str">
        <f t="shared" si="6"/>
        <v xml:space="preserve"> </v>
      </c>
      <c r="AC244">
        <f t="shared" si="7"/>
        <v>0.26581088626508198</v>
      </c>
    </row>
    <row r="245" spans="1:29" x14ac:dyDescent="0.2">
      <c r="A245" t="s">
        <v>201</v>
      </c>
      <c r="B245" t="s">
        <v>215</v>
      </c>
      <c r="C245">
        <v>-122.07002505729901</v>
      </c>
      <c r="D245">
        <v>51.971702367808298</v>
      </c>
      <c r="E245">
        <v>4.6770342489252499E-2</v>
      </c>
      <c r="F245">
        <v>112.442466929182</v>
      </c>
      <c r="G245">
        <v>116.442466929182</v>
      </c>
      <c r="I245" t="s">
        <v>201</v>
      </c>
      <c r="J245" t="s">
        <v>215</v>
      </c>
      <c r="K245">
        <v>-114.660880666344</v>
      </c>
      <c r="L245">
        <v>54.557683057135101</v>
      </c>
      <c r="M245">
        <v>6.8761346393725706E-2</v>
      </c>
      <c r="N245">
        <v>114.524353215198</v>
      </c>
      <c r="O245">
        <v>0.65349070687511202</v>
      </c>
      <c r="P245">
        <v>118.524353215198</v>
      </c>
      <c r="R245" t="s">
        <v>201</v>
      </c>
      <c r="S245" t="s">
        <v>215</v>
      </c>
      <c r="T245">
        <v>-100.134301970577</v>
      </c>
      <c r="U245">
        <v>51.801786728861003</v>
      </c>
      <c r="V245">
        <v>8.9302359088252597E-2</v>
      </c>
      <c r="W245">
        <v>113.744272566159</v>
      </c>
      <c r="X245">
        <v>0.15385126219485201</v>
      </c>
      <c r="Y245">
        <v>117.744272566159</v>
      </c>
      <c r="AA245" t="str">
        <f t="shared" si="6"/>
        <v xml:space="preserve"> </v>
      </c>
      <c r="AC245">
        <f t="shared" si="7"/>
        <v>4.6770342489252499E-2</v>
      </c>
    </row>
    <row r="246" spans="1:29" x14ac:dyDescent="0.2">
      <c r="A246" t="s">
        <v>201</v>
      </c>
      <c r="B246" t="s">
        <v>25</v>
      </c>
      <c r="C246">
        <v>0.169277108523639</v>
      </c>
      <c r="D246">
        <v>0.163183510684793</v>
      </c>
      <c r="E246">
        <v>0.32991129954008802</v>
      </c>
      <c r="F246">
        <v>116.425349689058</v>
      </c>
      <c r="G246">
        <v>120.425349689058</v>
      </c>
      <c r="I246" t="s">
        <v>201</v>
      </c>
      <c r="J246" t="s">
        <v>25</v>
      </c>
      <c r="K246">
        <v>0.12274713081213</v>
      </c>
      <c r="L246">
        <v>0.21321264203665299</v>
      </c>
      <c r="M246">
        <v>0.58064482627508496</v>
      </c>
      <c r="N246">
        <v>116.087235386503</v>
      </c>
      <c r="O246" s="23">
        <v>9.9999999999999903E-8</v>
      </c>
      <c r="P246">
        <v>120.087235386503</v>
      </c>
      <c r="R246" t="s">
        <v>201</v>
      </c>
      <c r="S246" t="s">
        <v>25</v>
      </c>
      <c r="T246">
        <v>0.129509584126691</v>
      </c>
      <c r="U246">
        <v>0.20217102548361199</v>
      </c>
      <c r="V246">
        <v>0.53969762828988799</v>
      </c>
      <c r="W246">
        <v>115.906112780928</v>
      </c>
      <c r="X246">
        <v>0.51526849199206903</v>
      </c>
      <c r="Y246">
        <v>119.906112780928</v>
      </c>
      <c r="AA246" t="str">
        <f t="shared" si="6"/>
        <v xml:space="preserve"> </v>
      </c>
      <c r="AC246">
        <f t="shared" si="7"/>
        <v>0.32991129954008802</v>
      </c>
    </row>
    <row r="247" spans="1:29" x14ac:dyDescent="0.2">
      <c r="A247" t="s">
        <v>201</v>
      </c>
      <c r="B247" t="s">
        <v>24</v>
      </c>
      <c r="C247">
        <v>133.83123480766599</v>
      </c>
      <c r="D247">
        <v>75.453988287815804</v>
      </c>
      <c r="E247">
        <v>0.11404449933831701</v>
      </c>
      <c r="F247">
        <v>114.371017824105</v>
      </c>
      <c r="G247">
        <v>118.371017824105</v>
      </c>
      <c r="I247" t="s">
        <v>201</v>
      </c>
      <c r="J247" t="s">
        <v>24</v>
      </c>
      <c r="K247">
        <v>110.806221762871</v>
      </c>
      <c r="L247">
        <v>70.481568836901701</v>
      </c>
      <c r="M247">
        <v>0.15456411662154601</v>
      </c>
      <c r="N247">
        <v>113.800928272318</v>
      </c>
      <c r="O247" s="23">
        <v>9.9999999999999903E-8</v>
      </c>
      <c r="P247">
        <v>117.800928272318</v>
      </c>
      <c r="R247" t="s">
        <v>201</v>
      </c>
      <c r="S247" t="s">
        <v>24</v>
      </c>
      <c r="T247">
        <v>115.977543070911</v>
      </c>
      <c r="U247">
        <v>69.760528244085805</v>
      </c>
      <c r="V247">
        <v>0.13498393151507701</v>
      </c>
      <c r="W247">
        <v>113.461571339198</v>
      </c>
      <c r="X247">
        <v>0.46972988245119102</v>
      </c>
      <c r="Y247">
        <v>117.461571339198</v>
      </c>
      <c r="AA247" t="str">
        <f t="shared" si="6"/>
        <v xml:space="preserve"> </v>
      </c>
      <c r="AC247">
        <f t="shared" si="7"/>
        <v>0.11404449933831701</v>
      </c>
    </row>
    <row r="248" spans="1:29" x14ac:dyDescent="0.2">
      <c r="A248" t="s">
        <v>201</v>
      </c>
      <c r="B248" t="s">
        <v>23</v>
      </c>
      <c r="C248">
        <v>-8.8617738242855904</v>
      </c>
      <c r="D248">
        <v>15.1101229727711</v>
      </c>
      <c r="E248">
        <v>0.57372524687828397</v>
      </c>
      <c r="F248">
        <v>117.266394999407</v>
      </c>
      <c r="G248">
        <v>121.266394999407</v>
      </c>
      <c r="I248" t="s">
        <v>201</v>
      </c>
      <c r="J248" t="s">
        <v>23</v>
      </c>
      <c r="K248">
        <v>-11.1160972938537</v>
      </c>
      <c r="L248">
        <v>13.9052395973392</v>
      </c>
      <c r="M248">
        <v>0.44713183219258501</v>
      </c>
      <c r="N248">
        <v>115.72464286761</v>
      </c>
      <c r="O248" s="23">
        <v>9.9999999999999903E-8</v>
      </c>
      <c r="P248">
        <v>119.72464286761</v>
      </c>
      <c r="R248" t="s">
        <v>201</v>
      </c>
      <c r="S248" t="s">
        <v>23</v>
      </c>
      <c r="T248">
        <v>-10.800515446033399</v>
      </c>
      <c r="U248">
        <v>13.887512239695299</v>
      </c>
      <c r="V248">
        <v>0.45911690775651698</v>
      </c>
      <c r="W248">
        <v>115.66668808934401</v>
      </c>
      <c r="X248">
        <v>0.72255751599263895</v>
      </c>
      <c r="Y248">
        <v>119.66668808934401</v>
      </c>
      <c r="AA248" t="str">
        <f t="shared" si="6"/>
        <v xml:space="preserve"> </v>
      </c>
      <c r="AC248">
        <f t="shared" si="7"/>
        <v>0.44713183219258501</v>
      </c>
    </row>
    <row r="249" spans="1:29" x14ac:dyDescent="0.2">
      <c r="A249" t="s">
        <v>201</v>
      </c>
      <c r="B249" t="s">
        <v>220</v>
      </c>
      <c r="C249">
        <v>0.123455462436156</v>
      </c>
      <c r="D249">
        <v>5.9249140444704598E-2</v>
      </c>
      <c r="E249">
        <v>7.0710965905483703E-2</v>
      </c>
      <c r="F249">
        <v>113.351960753348</v>
      </c>
      <c r="G249">
        <v>117.351960753348</v>
      </c>
      <c r="I249" t="s">
        <v>201</v>
      </c>
      <c r="J249" t="s">
        <v>220</v>
      </c>
      <c r="K249">
        <v>9.8024199943266693E-2</v>
      </c>
      <c r="L249">
        <v>5.9756584479256601E-2</v>
      </c>
      <c r="M249">
        <v>0.139553347501601</v>
      </c>
      <c r="N249">
        <v>113.593676674927</v>
      </c>
      <c r="O249" s="23">
        <v>1.6676795853768599E-7</v>
      </c>
      <c r="P249">
        <v>117.593676674927</v>
      </c>
      <c r="R249" t="s">
        <v>201</v>
      </c>
      <c r="S249" t="s">
        <v>220</v>
      </c>
      <c r="T249">
        <v>0.107234979345344</v>
      </c>
      <c r="U249">
        <v>5.8557000312256802E-2</v>
      </c>
      <c r="V249">
        <v>0.104430109439147</v>
      </c>
      <c r="W249">
        <v>113.049719491079</v>
      </c>
      <c r="X249">
        <v>0.36652051004897002</v>
      </c>
      <c r="Y249">
        <v>117.049719491079</v>
      </c>
      <c r="AA249" t="str">
        <f t="shared" si="6"/>
        <v xml:space="preserve"> </v>
      </c>
      <c r="AC249">
        <f t="shared" si="7"/>
        <v>7.0710965905483703E-2</v>
      </c>
    </row>
    <row r="250" spans="1:29" x14ac:dyDescent="0.2">
      <c r="A250" t="s">
        <v>202</v>
      </c>
      <c r="B250" t="s">
        <v>203</v>
      </c>
      <c r="C250">
        <v>6.3774622334556699E-4</v>
      </c>
      <c r="D250">
        <v>7.5915825309239102E-4</v>
      </c>
      <c r="E250">
        <v>0.42526145075738703</v>
      </c>
      <c r="F250">
        <v>37.216022412127799</v>
      </c>
      <c r="G250">
        <v>41.216022412127799</v>
      </c>
      <c r="I250" t="s">
        <v>202</v>
      </c>
      <c r="J250" t="s">
        <v>203</v>
      </c>
      <c r="K250">
        <v>5.9247326073527803E-4</v>
      </c>
      <c r="L250">
        <v>7.5986864073619904E-4</v>
      </c>
      <c r="M250">
        <v>0.458008733791196</v>
      </c>
      <c r="N250">
        <v>39.1649631497827</v>
      </c>
      <c r="O250">
        <v>0.97725342812516403</v>
      </c>
      <c r="P250">
        <v>43.1649631497827</v>
      </c>
      <c r="R250" t="s">
        <v>202</v>
      </c>
      <c r="S250" t="s">
        <v>203</v>
      </c>
      <c r="T250">
        <v>6.3774616605809904E-4</v>
      </c>
      <c r="U250">
        <v>7.5915827660573204E-4</v>
      </c>
      <c r="V250">
        <v>0.42526150440780802</v>
      </c>
      <c r="W250">
        <v>39.216022796907403</v>
      </c>
      <c r="X250" s="23">
        <v>1.3217565912596599E-8</v>
      </c>
      <c r="Y250">
        <v>43.216022796907403</v>
      </c>
      <c r="AA250" t="str">
        <f t="shared" si="6"/>
        <v xml:space="preserve"> </v>
      </c>
      <c r="AC250">
        <f t="shared" si="7"/>
        <v>0.42526145075738703</v>
      </c>
    </row>
    <row r="251" spans="1:29" x14ac:dyDescent="0.2">
      <c r="A251" t="s">
        <v>202</v>
      </c>
      <c r="B251" t="s">
        <v>204</v>
      </c>
      <c r="C251">
        <v>1.284773078293</v>
      </c>
      <c r="D251">
        <v>0.77088492408353904</v>
      </c>
      <c r="E251">
        <v>0.134149858517637</v>
      </c>
      <c r="F251">
        <v>35.081099772970298</v>
      </c>
      <c r="G251">
        <v>39.081099772970298</v>
      </c>
      <c r="I251" t="s">
        <v>202</v>
      </c>
      <c r="J251" t="s">
        <v>204</v>
      </c>
      <c r="K251">
        <v>1.284773078293</v>
      </c>
      <c r="L251">
        <v>0.77088492408353904</v>
      </c>
      <c r="M251">
        <v>0.134149858517637</v>
      </c>
      <c r="N251">
        <v>37.081099772970298</v>
      </c>
      <c r="O251">
        <v>1</v>
      </c>
      <c r="P251">
        <v>41.081099772970298</v>
      </c>
      <c r="R251" t="s">
        <v>202</v>
      </c>
      <c r="S251" t="s">
        <v>204</v>
      </c>
      <c r="T251">
        <v>1.2847731004991201</v>
      </c>
      <c r="U251">
        <v>0.77088494232007498</v>
      </c>
      <c r="V251">
        <v>0.134149860665981</v>
      </c>
      <c r="W251">
        <v>37.081099933885604</v>
      </c>
      <c r="X251" s="23">
        <v>8.5990814065221099E-9</v>
      </c>
      <c r="Y251">
        <v>41.081099933885604</v>
      </c>
      <c r="AA251" t="str">
        <f t="shared" si="6"/>
        <v xml:space="preserve"> </v>
      </c>
      <c r="AC251">
        <f t="shared" si="7"/>
        <v>0.134149858517637</v>
      </c>
    </row>
    <row r="252" spans="1:29" x14ac:dyDescent="0.2">
      <c r="A252" t="s">
        <v>202</v>
      </c>
      <c r="B252" t="s">
        <v>206</v>
      </c>
      <c r="C252">
        <v>5.2135756607736602E-2</v>
      </c>
      <c r="D252">
        <v>0.10513012102838699</v>
      </c>
      <c r="E252">
        <v>0.63328894389262003</v>
      </c>
      <c r="F252">
        <v>37.7586216049597</v>
      </c>
      <c r="G252">
        <v>41.7586216049597</v>
      </c>
      <c r="I252" t="s">
        <v>202</v>
      </c>
      <c r="J252" t="s">
        <v>206</v>
      </c>
      <c r="K252">
        <v>5.3405812985468197E-2</v>
      </c>
      <c r="L252">
        <v>0.104002224046851</v>
      </c>
      <c r="M252">
        <v>0.62147469793350996</v>
      </c>
      <c r="N252">
        <v>39.502171963347998</v>
      </c>
      <c r="O252">
        <v>0.94626727571900204</v>
      </c>
      <c r="P252">
        <v>43.502171963347998</v>
      </c>
      <c r="R252" t="s">
        <v>202</v>
      </c>
      <c r="S252" t="s">
        <v>206</v>
      </c>
      <c r="T252">
        <v>5.2135754775262201E-2</v>
      </c>
      <c r="U252">
        <v>0.105130122533402</v>
      </c>
      <c r="V252">
        <v>0.63328896044747995</v>
      </c>
      <c r="W252">
        <v>39.758621752153402</v>
      </c>
      <c r="X252" s="23">
        <v>8.4667308499818997E-9</v>
      </c>
      <c r="Y252">
        <v>43.758621752153402</v>
      </c>
      <c r="AA252" t="str">
        <f t="shared" si="6"/>
        <v xml:space="preserve"> </v>
      </c>
      <c r="AC252">
        <f t="shared" si="7"/>
        <v>0.62147469793350996</v>
      </c>
    </row>
    <row r="253" spans="1:29" x14ac:dyDescent="0.2">
      <c r="A253" t="s">
        <v>202</v>
      </c>
      <c r="B253" t="s">
        <v>205</v>
      </c>
      <c r="C253">
        <v>2.6198141216966002</v>
      </c>
      <c r="D253">
        <v>1.70007829677352</v>
      </c>
      <c r="E253">
        <v>0.161886024717008</v>
      </c>
      <c r="F253">
        <v>35.462151080502103</v>
      </c>
      <c r="G253">
        <v>39.462151080502103</v>
      </c>
      <c r="I253" t="s">
        <v>202</v>
      </c>
      <c r="J253" t="s">
        <v>205</v>
      </c>
      <c r="K253">
        <v>2.6198141216966002</v>
      </c>
      <c r="L253">
        <v>1.70007829677352</v>
      </c>
      <c r="M253">
        <v>0.161886024717008</v>
      </c>
      <c r="N253">
        <v>37.462151080502103</v>
      </c>
      <c r="O253">
        <v>1</v>
      </c>
      <c r="P253">
        <v>41.462151080502103</v>
      </c>
      <c r="R253" t="s">
        <v>202</v>
      </c>
      <c r="S253" t="s">
        <v>205</v>
      </c>
      <c r="T253">
        <v>2.6198143209675702</v>
      </c>
      <c r="U253">
        <v>1.7000783455476101</v>
      </c>
      <c r="V253">
        <v>0.16188600718778401</v>
      </c>
      <c r="W253">
        <v>37.462151265241303</v>
      </c>
      <c r="X253" s="23">
        <v>2.7441945850490699E-8</v>
      </c>
      <c r="Y253">
        <v>41.462151265241303</v>
      </c>
      <c r="AA253" t="str">
        <f t="shared" si="6"/>
        <v xml:space="preserve"> </v>
      </c>
      <c r="AC253">
        <f t="shared" si="7"/>
        <v>0.16188600718778401</v>
      </c>
    </row>
    <row r="254" spans="1:29" x14ac:dyDescent="0.2">
      <c r="A254" t="s">
        <v>202</v>
      </c>
      <c r="B254" t="s">
        <v>207</v>
      </c>
      <c r="C254">
        <v>-1.20764295084561E-2</v>
      </c>
      <c r="D254">
        <v>6.6688160608278403E-3</v>
      </c>
      <c r="E254">
        <v>0.10774538506423501</v>
      </c>
      <c r="F254">
        <v>34.626141188116399</v>
      </c>
      <c r="G254">
        <v>38.626141188116399</v>
      </c>
      <c r="I254" t="s">
        <v>202</v>
      </c>
      <c r="J254" t="s">
        <v>207</v>
      </c>
      <c r="K254">
        <v>-1.20764295084561E-2</v>
      </c>
      <c r="L254">
        <v>6.6688160608278403E-3</v>
      </c>
      <c r="M254">
        <v>0.10774538506423501</v>
      </c>
      <c r="N254">
        <v>36.626141188116399</v>
      </c>
      <c r="O254">
        <v>1</v>
      </c>
      <c r="P254">
        <v>40.626141188116399</v>
      </c>
      <c r="R254" t="s">
        <v>202</v>
      </c>
      <c r="S254" t="s">
        <v>207</v>
      </c>
      <c r="T254">
        <v>-1.2076429479621601E-2</v>
      </c>
      <c r="U254">
        <v>6.6688162342608904E-3</v>
      </c>
      <c r="V254">
        <v>0.107745393539637</v>
      </c>
      <c r="W254">
        <v>36.626141470472398</v>
      </c>
      <c r="X254" s="23">
        <v>8.50997032994193E-9</v>
      </c>
      <c r="Y254">
        <v>40.626141470472398</v>
      </c>
      <c r="AA254" t="str">
        <f t="shared" si="6"/>
        <v xml:space="preserve"> </v>
      </c>
      <c r="AC254">
        <f t="shared" si="7"/>
        <v>0.10774538506423501</v>
      </c>
    </row>
    <row r="255" spans="1:29" x14ac:dyDescent="0.2">
      <c r="A255" t="s">
        <v>202</v>
      </c>
      <c r="B255" t="s">
        <v>208</v>
      </c>
      <c r="C255">
        <v>-0.71327439896141798</v>
      </c>
      <c r="D255">
        <v>0.44958951265162</v>
      </c>
      <c r="E255">
        <v>0.151286792431615</v>
      </c>
      <c r="F255">
        <v>35.325905496760001</v>
      </c>
      <c r="G255">
        <v>39.325905496760001</v>
      </c>
      <c r="I255" t="s">
        <v>202</v>
      </c>
      <c r="J255" t="s">
        <v>208</v>
      </c>
      <c r="K255">
        <v>-0.71327439896141798</v>
      </c>
      <c r="L255">
        <v>0.44958951265162</v>
      </c>
      <c r="M255">
        <v>0.151286792431615</v>
      </c>
      <c r="N255">
        <v>37.325905496760001</v>
      </c>
      <c r="O255">
        <v>1</v>
      </c>
      <c r="P255">
        <v>41.325905496760001</v>
      </c>
      <c r="R255" t="s">
        <v>202</v>
      </c>
      <c r="S255" t="s">
        <v>208</v>
      </c>
      <c r="T255">
        <v>-0.71327435894273405</v>
      </c>
      <c r="U255">
        <v>0.44958954415167501</v>
      </c>
      <c r="V255">
        <v>0.151286837637227</v>
      </c>
      <c r="W255">
        <v>37.325906347057902</v>
      </c>
      <c r="X255" s="23">
        <v>1.67740341476516E-8</v>
      </c>
      <c r="Y255">
        <v>41.325906347057902</v>
      </c>
      <c r="AA255" t="str">
        <f t="shared" si="6"/>
        <v xml:space="preserve"> </v>
      </c>
      <c r="AC255">
        <f t="shared" si="7"/>
        <v>0.151286792431615</v>
      </c>
    </row>
    <row r="256" spans="1:29" x14ac:dyDescent="0.2">
      <c r="A256" t="s">
        <v>202</v>
      </c>
      <c r="B256" t="s">
        <v>209</v>
      </c>
      <c r="C256">
        <v>-3.1650303295610201E-3</v>
      </c>
      <c r="D256">
        <v>3.1375420470665699E-3</v>
      </c>
      <c r="E256">
        <v>0.34262278578370697</v>
      </c>
      <c r="F256">
        <v>36.8640418007177</v>
      </c>
      <c r="G256">
        <v>40.8640418007177</v>
      </c>
      <c r="I256" t="s">
        <v>202</v>
      </c>
      <c r="J256" t="s">
        <v>209</v>
      </c>
      <c r="K256">
        <v>-3.2978614135924199E-3</v>
      </c>
      <c r="L256">
        <v>3.1504582015243199E-3</v>
      </c>
      <c r="M256">
        <v>0.32579132223780599</v>
      </c>
      <c r="N256">
        <v>38.543091931384097</v>
      </c>
      <c r="O256">
        <v>0.940632487251441</v>
      </c>
      <c r="P256">
        <v>42.543091931384097</v>
      </c>
      <c r="R256" t="s">
        <v>202</v>
      </c>
      <c r="S256" t="s">
        <v>209</v>
      </c>
      <c r="T256">
        <v>-3.1650303684503398E-3</v>
      </c>
      <c r="U256">
        <v>3.1375421255174698E-3</v>
      </c>
      <c r="V256">
        <v>0.34262279157217002</v>
      </c>
      <c r="W256">
        <v>38.864041994980198</v>
      </c>
      <c r="X256" s="23">
        <v>1.14615356424581E-8</v>
      </c>
      <c r="Y256">
        <v>42.864041994980198</v>
      </c>
      <c r="AA256" t="str">
        <f t="shared" si="6"/>
        <v xml:space="preserve"> </v>
      </c>
      <c r="AC256">
        <f t="shared" si="7"/>
        <v>0.32579132223780599</v>
      </c>
    </row>
    <row r="257" spans="1:29" x14ac:dyDescent="0.2">
      <c r="A257" t="s">
        <v>202</v>
      </c>
      <c r="B257" t="s">
        <v>210</v>
      </c>
      <c r="C257">
        <v>0.13590472767424799</v>
      </c>
      <c r="D257">
        <v>0.70624946968218905</v>
      </c>
      <c r="E257">
        <v>0.85219924537699199</v>
      </c>
      <c r="F257">
        <v>38.015226821101599</v>
      </c>
      <c r="G257">
        <v>42.015226821101599</v>
      </c>
      <c r="I257" t="s">
        <v>202</v>
      </c>
      <c r="J257" t="s">
        <v>210</v>
      </c>
      <c r="K257">
        <v>-2.6314315787006499E-2</v>
      </c>
      <c r="L257">
        <v>0.74994796056376101</v>
      </c>
      <c r="M257">
        <v>0.97286912624698696</v>
      </c>
      <c r="N257">
        <v>39.824924510272403</v>
      </c>
      <c r="O257">
        <v>0.94165806038460398</v>
      </c>
      <c r="P257">
        <v>43.824924510272403</v>
      </c>
      <c r="R257" t="s">
        <v>202</v>
      </c>
      <c r="S257" t="s">
        <v>210</v>
      </c>
      <c r="T257">
        <v>0.135904707670637</v>
      </c>
      <c r="U257">
        <v>0.70624948955458899</v>
      </c>
      <c r="V257">
        <v>0.852199270933508</v>
      </c>
      <c r="W257">
        <v>40.015226991692799</v>
      </c>
      <c r="X257" s="23">
        <v>1.0922336245690901E-8</v>
      </c>
      <c r="Y257">
        <v>44.015226991692799</v>
      </c>
      <c r="AA257" t="str">
        <f t="shared" si="6"/>
        <v xml:space="preserve"> </v>
      </c>
      <c r="AC257">
        <f t="shared" si="7"/>
        <v>0.85219924537699199</v>
      </c>
    </row>
    <row r="258" spans="1:29" x14ac:dyDescent="0.2">
      <c r="A258" t="s">
        <v>202</v>
      </c>
      <c r="B258" t="s">
        <v>4</v>
      </c>
      <c r="C258">
        <v>-0.26822607508631902</v>
      </c>
      <c r="D258">
        <v>0.69026111887239205</v>
      </c>
      <c r="E258">
        <v>0.70771936333832997</v>
      </c>
      <c r="F258">
        <v>37.874417418484697</v>
      </c>
      <c r="G258">
        <v>41.874417418484697</v>
      </c>
      <c r="I258" t="s">
        <v>202</v>
      </c>
      <c r="J258" t="s">
        <v>4</v>
      </c>
      <c r="K258">
        <v>-0.25229217469512699</v>
      </c>
      <c r="L258">
        <v>0.69582555090365905</v>
      </c>
      <c r="M258">
        <v>0.72631102727605601</v>
      </c>
      <c r="N258">
        <v>39.663565100378001</v>
      </c>
      <c r="O258">
        <v>0.94661023278087897</v>
      </c>
      <c r="P258">
        <v>43.663565100378001</v>
      </c>
      <c r="R258" t="s">
        <v>202</v>
      </c>
      <c r="S258" t="s">
        <v>4</v>
      </c>
      <c r="T258">
        <v>-0.26822607855361302</v>
      </c>
      <c r="U258">
        <v>0.690261130832025</v>
      </c>
      <c r="V258">
        <v>0.70771936455381201</v>
      </c>
      <c r="W258">
        <v>39.874417537803502</v>
      </c>
      <c r="X258" s="23">
        <v>8.4667308499818997E-9</v>
      </c>
      <c r="Y258">
        <v>43.874417537803502</v>
      </c>
      <c r="AA258" t="str">
        <f t="shared" si="6"/>
        <v xml:space="preserve"> </v>
      </c>
      <c r="AC258">
        <f t="shared" si="7"/>
        <v>0.70771936333832997</v>
      </c>
    </row>
    <row r="259" spans="1:29" x14ac:dyDescent="0.2">
      <c r="A259" t="s">
        <v>202</v>
      </c>
      <c r="B259" t="s">
        <v>3</v>
      </c>
      <c r="C259">
        <v>3.3481508615008102</v>
      </c>
      <c r="D259">
        <v>7.1402535190690202</v>
      </c>
      <c r="E259">
        <v>0.65164531665398195</v>
      </c>
      <c r="F259">
        <v>37.790268566556101</v>
      </c>
      <c r="G259">
        <v>41.790268566556101</v>
      </c>
      <c r="I259" t="s">
        <v>202</v>
      </c>
      <c r="J259" t="s">
        <v>3</v>
      </c>
      <c r="K259">
        <v>3.3508816956806098</v>
      </c>
      <c r="L259">
        <v>7.1682272233512903</v>
      </c>
      <c r="M259">
        <v>0.65263758067384903</v>
      </c>
      <c r="N259">
        <v>39.5567318575388</v>
      </c>
      <c r="O259">
        <v>0.94312333393963599</v>
      </c>
      <c r="P259">
        <v>43.5567318575388</v>
      </c>
      <c r="R259" t="s">
        <v>202</v>
      </c>
      <c r="S259" t="s">
        <v>3</v>
      </c>
      <c r="T259">
        <v>3.34815095616842</v>
      </c>
      <c r="U259">
        <v>7.1402536330873598</v>
      </c>
      <c r="V259">
        <v>0.65164531270368897</v>
      </c>
      <c r="W259">
        <v>39.790268677661103</v>
      </c>
      <c r="X259" s="23">
        <v>8.4667308499818997E-9</v>
      </c>
      <c r="Y259">
        <v>43.790268677661103</v>
      </c>
      <c r="AA259" t="str">
        <f t="shared" si="6"/>
        <v xml:space="preserve"> </v>
      </c>
      <c r="AC259">
        <f t="shared" si="7"/>
        <v>0.65164531270368897</v>
      </c>
    </row>
    <row r="260" spans="1:29" x14ac:dyDescent="0.2">
      <c r="A260" t="s">
        <v>202</v>
      </c>
      <c r="B260" t="s">
        <v>211</v>
      </c>
      <c r="C260">
        <v>1.87879366503768</v>
      </c>
      <c r="D260">
        <v>1.05209265842016</v>
      </c>
      <c r="E260">
        <v>0.111960554865197</v>
      </c>
      <c r="F260">
        <v>34.706539705973199</v>
      </c>
      <c r="G260">
        <v>38.706539705973199</v>
      </c>
      <c r="I260" t="s">
        <v>202</v>
      </c>
      <c r="J260" t="s">
        <v>211</v>
      </c>
      <c r="K260">
        <v>1.87879366503768</v>
      </c>
      <c r="L260">
        <v>1.05209265842016</v>
      </c>
      <c r="M260">
        <v>0.111960554865197</v>
      </c>
      <c r="N260">
        <v>36.706539705973199</v>
      </c>
      <c r="O260">
        <v>1</v>
      </c>
      <c r="P260">
        <v>40.706539705973199</v>
      </c>
      <c r="R260" t="s">
        <v>202</v>
      </c>
      <c r="S260" t="s">
        <v>211</v>
      </c>
      <c r="T260">
        <v>1.8787936654422299</v>
      </c>
      <c r="U260">
        <v>1.0520927141905401</v>
      </c>
      <c r="V260">
        <v>0.111960570977582</v>
      </c>
      <c r="W260">
        <v>36.706540200365701</v>
      </c>
      <c r="X260" s="23">
        <v>1.3015750330349201E-8</v>
      </c>
      <c r="Y260">
        <v>40.706540200365701</v>
      </c>
      <c r="AA260" t="str">
        <f t="shared" si="6"/>
        <v xml:space="preserve"> </v>
      </c>
      <c r="AC260">
        <f t="shared" si="7"/>
        <v>0.111960554865197</v>
      </c>
    </row>
    <row r="261" spans="1:29" x14ac:dyDescent="0.2">
      <c r="A261" t="s">
        <v>202</v>
      </c>
      <c r="B261" t="s">
        <v>212</v>
      </c>
      <c r="C261">
        <v>2.08693860267983</v>
      </c>
      <c r="D261">
        <v>2.97407380058812</v>
      </c>
      <c r="E261">
        <v>0.50275934982029502</v>
      </c>
      <c r="F261">
        <v>37.464109304306</v>
      </c>
      <c r="G261">
        <v>41.464109304306</v>
      </c>
      <c r="I261" t="s">
        <v>202</v>
      </c>
      <c r="J261" t="s">
        <v>212</v>
      </c>
      <c r="K261">
        <v>2.2990538555392099</v>
      </c>
      <c r="L261">
        <v>2.9584832904466598</v>
      </c>
      <c r="M261">
        <v>0.459456081515561</v>
      </c>
      <c r="N261">
        <v>39.102197379082703</v>
      </c>
      <c r="O261">
        <v>0.93540460550477</v>
      </c>
      <c r="P261">
        <v>43.102197379082703</v>
      </c>
      <c r="R261" t="s">
        <v>202</v>
      </c>
      <c r="S261" t="s">
        <v>212</v>
      </c>
      <c r="T261">
        <v>2.0869386231287002</v>
      </c>
      <c r="U261">
        <v>2.9740738600594399</v>
      </c>
      <c r="V261">
        <v>0.50275935405036898</v>
      </c>
      <c r="W261">
        <v>39.464109467799702</v>
      </c>
      <c r="X261" s="23">
        <v>1.0327084854378199E-8</v>
      </c>
      <c r="Y261">
        <v>43.464109467799702</v>
      </c>
      <c r="AA261" t="str">
        <f t="shared" si="6"/>
        <v xml:space="preserve"> </v>
      </c>
      <c r="AC261">
        <f t="shared" si="7"/>
        <v>0.459456081515561</v>
      </c>
    </row>
    <row r="262" spans="1:29" x14ac:dyDescent="0.2">
      <c r="A262" t="s">
        <v>202</v>
      </c>
      <c r="B262" t="s">
        <v>213</v>
      </c>
      <c r="C262">
        <v>3.9062754120340699</v>
      </c>
      <c r="D262">
        <v>2.3498197780722401</v>
      </c>
      <c r="E262">
        <v>0.13501184355565801</v>
      </c>
      <c r="F262">
        <v>35.094231943949602</v>
      </c>
      <c r="G262">
        <v>39.094231943949602</v>
      </c>
      <c r="I262" t="s">
        <v>202</v>
      </c>
      <c r="J262" t="s">
        <v>213</v>
      </c>
      <c r="K262">
        <v>3.9062754120340699</v>
      </c>
      <c r="L262">
        <v>2.3498197780722401</v>
      </c>
      <c r="M262">
        <v>0.13501184355565801</v>
      </c>
      <c r="N262">
        <v>37.094231943949602</v>
      </c>
      <c r="O262">
        <v>1</v>
      </c>
      <c r="P262">
        <v>41.094231943949602</v>
      </c>
      <c r="R262" t="s">
        <v>202</v>
      </c>
      <c r="S262" t="s">
        <v>213</v>
      </c>
      <c r="T262">
        <v>3.90627546489024</v>
      </c>
      <c r="U262">
        <v>2.34981983010187</v>
      </c>
      <c r="V262">
        <v>0.13501184646836001</v>
      </c>
      <c r="W262">
        <v>37.094232118880598</v>
      </c>
      <c r="X262" s="23">
        <v>8.4737359702546403E-9</v>
      </c>
      <c r="Y262">
        <v>41.094232118880598</v>
      </c>
      <c r="AA262" t="str">
        <f t="shared" ref="AA262:AA325" si="8">IF(AND(G262-P262&lt;-2, G262-Y262&lt;-2), "BM", IF(OR(P262-G262&lt;-2, Y262-G262&lt;-2), IF(AND(P262-G262&lt;-2, Y262-G262&gt;-2), "P ", IF(AND(P262-G262&lt;-2, Y262-G262&lt;-2), "P &amp; OU ", "OU ")), " "))</f>
        <v xml:space="preserve"> </v>
      </c>
      <c r="AC262">
        <f t="shared" ref="AC262:AC325" si="9">MIN(E262,M262,V262)</f>
        <v>0.13501184355565801</v>
      </c>
    </row>
    <row r="263" spans="1:29" x14ac:dyDescent="0.2">
      <c r="A263" t="s">
        <v>202</v>
      </c>
      <c r="B263" t="s">
        <v>214</v>
      </c>
      <c r="C263">
        <v>7.8798304839213396E-3</v>
      </c>
      <c r="D263">
        <v>6.2844076817211696E-3</v>
      </c>
      <c r="E263">
        <v>0.245287854599049</v>
      </c>
      <c r="F263">
        <v>36.267202586923503</v>
      </c>
      <c r="G263">
        <v>40.267202586923503</v>
      </c>
      <c r="I263" t="s">
        <v>202</v>
      </c>
      <c r="J263" t="s">
        <v>214</v>
      </c>
      <c r="K263">
        <v>7.8798304839213396E-3</v>
      </c>
      <c r="L263">
        <v>6.2844076817211696E-3</v>
      </c>
      <c r="M263">
        <v>0.245287854599049</v>
      </c>
      <c r="N263">
        <v>38.267202586923503</v>
      </c>
      <c r="O263">
        <v>1</v>
      </c>
      <c r="P263">
        <v>42.267202586923503</v>
      </c>
      <c r="R263" t="s">
        <v>202</v>
      </c>
      <c r="S263" t="s">
        <v>214</v>
      </c>
      <c r="T263">
        <v>7.8798304859714306E-3</v>
      </c>
      <c r="U263">
        <v>6.2844078400536903E-3</v>
      </c>
      <c r="V263">
        <v>0.24528786538373101</v>
      </c>
      <c r="W263">
        <v>38.267202786519299</v>
      </c>
      <c r="X263" s="23">
        <v>8.4667308499818997E-9</v>
      </c>
      <c r="Y263">
        <v>42.267202786519299</v>
      </c>
      <c r="AA263" t="str">
        <f t="shared" si="8"/>
        <v xml:space="preserve"> </v>
      </c>
      <c r="AC263">
        <f t="shared" si="9"/>
        <v>0.245287854599049</v>
      </c>
    </row>
    <row r="264" spans="1:29" x14ac:dyDescent="0.2">
      <c r="A264" t="s">
        <v>202</v>
      </c>
      <c r="B264" t="s">
        <v>215</v>
      </c>
      <c r="C264">
        <v>1.26741995739055</v>
      </c>
      <c r="D264">
        <v>1.17834820217448</v>
      </c>
      <c r="E264">
        <v>0.313475738379002</v>
      </c>
      <c r="F264">
        <v>36.710751807422099</v>
      </c>
      <c r="G264">
        <v>40.710751807422099</v>
      </c>
      <c r="I264" t="s">
        <v>202</v>
      </c>
      <c r="J264" t="s">
        <v>215</v>
      </c>
      <c r="K264">
        <v>1.7113273598890999</v>
      </c>
      <c r="L264">
        <v>1.1545480328309801</v>
      </c>
      <c r="M264">
        <v>0.17655689664601101</v>
      </c>
      <c r="N264">
        <v>37.723992403102301</v>
      </c>
      <c r="O264">
        <v>0.84932850099762203</v>
      </c>
      <c r="P264">
        <v>41.723992403102301</v>
      </c>
      <c r="R264" t="s">
        <v>202</v>
      </c>
      <c r="S264" t="s">
        <v>215</v>
      </c>
      <c r="T264">
        <v>1.26742002106992</v>
      </c>
      <c r="U264">
        <v>1.17834821054584</v>
      </c>
      <c r="V264">
        <v>0.31347571883750502</v>
      </c>
      <c r="W264">
        <v>38.710751816106097</v>
      </c>
      <c r="X264" s="23">
        <v>8.4667308499818997E-9</v>
      </c>
      <c r="Y264">
        <v>42.710751816106097</v>
      </c>
      <c r="AA264" t="str">
        <f t="shared" si="8"/>
        <v xml:space="preserve"> </v>
      </c>
      <c r="AC264">
        <f t="shared" si="9"/>
        <v>0.17655689664601101</v>
      </c>
    </row>
    <row r="265" spans="1:29" x14ac:dyDescent="0.2">
      <c r="A265" t="s">
        <v>202</v>
      </c>
      <c r="B265" t="s">
        <v>25</v>
      </c>
      <c r="C265">
        <v>3.8336352027137999E-3</v>
      </c>
      <c r="D265">
        <v>2.9468168580972999E-3</v>
      </c>
      <c r="E265">
        <v>0.229496548867823</v>
      </c>
      <c r="F265">
        <v>36.142352822463899</v>
      </c>
      <c r="G265">
        <v>40.142352822463899</v>
      </c>
      <c r="I265" t="s">
        <v>202</v>
      </c>
      <c r="J265" t="s">
        <v>25</v>
      </c>
      <c r="K265">
        <v>3.8336352027137999E-3</v>
      </c>
      <c r="L265">
        <v>2.9468168580972999E-3</v>
      </c>
      <c r="M265">
        <v>0.229496548867823</v>
      </c>
      <c r="N265">
        <v>38.142352822463899</v>
      </c>
      <c r="O265">
        <v>1</v>
      </c>
      <c r="P265">
        <v>42.142352822463899</v>
      </c>
      <c r="R265" t="s">
        <v>202</v>
      </c>
      <c r="S265" t="s">
        <v>25</v>
      </c>
      <c r="T265">
        <v>3.8336351711304099E-3</v>
      </c>
      <c r="U265">
        <v>2.9468169362687601E-3</v>
      </c>
      <c r="V265">
        <v>0.22949656361703399</v>
      </c>
      <c r="W265">
        <v>38.1423530740404</v>
      </c>
      <c r="X265" s="23">
        <v>8.5370246339762999E-9</v>
      </c>
      <c r="Y265">
        <v>42.1423530740404</v>
      </c>
      <c r="AA265" t="str">
        <f t="shared" si="8"/>
        <v xml:space="preserve"> </v>
      </c>
      <c r="AC265">
        <f t="shared" si="9"/>
        <v>0.229496548867823</v>
      </c>
    </row>
    <row r="266" spans="1:29" x14ac:dyDescent="0.2">
      <c r="A266" t="s">
        <v>202</v>
      </c>
      <c r="B266" t="s">
        <v>24</v>
      </c>
      <c r="C266">
        <v>-1.1372074383597699</v>
      </c>
      <c r="D266">
        <v>1.6126698270097799</v>
      </c>
      <c r="E266">
        <v>0.50071659330572105</v>
      </c>
      <c r="F266">
        <v>37.458378611911201</v>
      </c>
      <c r="G266">
        <v>41.458378611911201</v>
      </c>
      <c r="I266" t="s">
        <v>202</v>
      </c>
      <c r="J266" t="s">
        <v>24</v>
      </c>
      <c r="K266">
        <v>-1.2991113784825901</v>
      </c>
      <c r="L266">
        <v>1.5928708589215601</v>
      </c>
      <c r="M266">
        <v>0.43834704711447098</v>
      </c>
      <c r="N266">
        <v>39.054715282805802</v>
      </c>
      <c r="O266">
        <v>0.92004149035684502</v>
      </c>
      <c r="P266">
        <v>43.054715282805802</v>
      </c>
      <c r="R266" t="s">
        <v>202</v>
      </c>
      <c r="S266" t="s">
        <v>24</v>
      </c>
      <c r="T266">
        <v>-1.13720749435714</v>
      </c>
      <c r="U266">
        <v>1.61266984333047</v>
      </c>
      <c r="V266">
        <v>0.50071657704073003</v>
      </c>
      <c r="W266">
        <v>39.458378683812398</v>
      </c>
      <c r="X266" s="23">
        <v>8.4667308499818997E-9</v>
      </c>
      <c r="Y266">
        <v>43.458378683812398</v>
      </c>
      <c r="AA266" t="str">
        <f t="shared" si="8"/>
        <v xml:space="preserve"> </v>
      </c>
      <c r="AC266">
        <f t="shared" si="9"/>
        <v>0.43834704711447098</v>
      </c>
    </row>
    <row r="267" spans="1:29" x14ac:dyDescent="0.2">
      <c r="A267" t="s">
        <v>202</v>
      </c>
      <c r="B267" t="s">
        <v>23</v>
      </c>
      <c r="C267">
        <v>0.29514888061968397</v>
      </c>
      <c r="D267">
        <v>0.26840271854104902</v>
      </c>
      <c r="E267">
        <v>0.30347165620648198</v>
      </c>
      <c r="F267">
        <v>36.653761799458799</v>
      </c>
      <c r="G267">
        <v>40.653761799458799</v>
      </c>
      <c r="I267" t="s">
        <v>202</v>
      </c>
      <c r="J267" t="s">
        <v>23</v>
      </c>
      <c r="K267">
        <v>0.29419417632463102</v>
      </c>
      <c r="L267">
        <v>0.26734555412639599</v>
      </c>
      <c r="M267">
        <v>0.30315271780433001</v>
      </c>
      <c r="N267">
        <v>38.418105683409699</v>
      </c>
      <c r="O267">
        <v>0.93872857862539505</v>
      </c>
      <c r="P267">
        <v>42.418105683409699</v>
      </c>
      <c r="R267" t="s">
        <v>202</v>
      </c>
      <c r="S267" t="s">
        <v>23</v>
      </c>
      <c r="T267">
        <v>0.29514888793507099</v>
      </c>
      <c r="U267">
        <v>0.26840272188742598</v>
      </c>
      <c r="V267">
        <v>0.30347165064633802</v>
      </c>
      <c r="W267">
        <v>38.653761893008799</v>
      </c>
      <c r="X267" s="23">
        <v>8.9684507942562293E-9</v>
      </c>
      <c r="Y267">
        <v>42.653761893008799</v>
      </c>
      <c r="AA267" t="str">
        <f t="shared" si="8"/>
        <v xml:space="preserve"> </v>
      </c>
      <c r="AC267">
        <f t="shared" si="9"/>
        <v>0.30315271780433001</v>
      </c>
    </row>
    <row r="268" spans="1:29" x14ac:dyDescent="0.2">
      <c r="A268" t="s">
        <v>202</v>
      </c>
      <c r="B268" t="s">
        <v>220</v>
      </c>
      <c r="C268">
        <v>-3.6531459049178502E-4</v>
      </c>
      <c r="D268">
        <v>1.3672225368388999E-3</v>
      </c>
      <c r="E268">
        <v>0.79607820626554904</v>
      </c>
      <c r="F268">
        <v>37.972562032806202</v>
      </c>
      <c r="G268">
        <v>41.972562032806202</v>
      </c>
      <c r="I268" t="s">
        <v>202</v>
      </c>
      <c r="J268" t="s">
        <v>220</v>
      </c>
      <c r="K268">
        <v>-6.7089032428103805E-4</v>
      </c>
      <c r="L268">
        <v>1.3729909186203999E-3</v>
      </c>
      <c r="M268">
        <v>0.63821326761825303</v>
      </c>
      <c r="N268">
        <v>39.565937269376299</v>
      </c>
      <c r="O268">
        <v>0.91712047024454302</v>
      </c>
      <c r="P268">
        <v>43.565937269376299</v>
      </c>
      <c r="R268" t="s">
        <v>202</v>
      </c>
      <c r="S268" t="s">
        <v>220</v>
      </c>
      <c r="T268">
        <v>-3.65314649697348E-4</v>
      </c>
      <c r="U268">
        <v>1.36722255464809E-3</v>
      </c>
      <c r="V268">
        <v>0.79607817667351299</v>
      </c>
      <c r="W268">
        <v>39.972562124128899</v>
      </c>
      <c r="X268" s="23">
        <v>8.4667308499818997E-9</v>
      </c>
      <c r="Y268">
        <v>43.972562124128899</v>
      </c>
      <c r="AA268" t="str">
        <f t="shared" si="8"/>
        <v xml:space="preserve"> </v>
      </c>
      <c r="AC268">
        <f t="shared" si="9"/>
        <v>0.63821326761825303</v>
      </c>
    </row>
    <row r="269" spans="1:29" x14ac:dyDescent="0.2">
      <c r="A269" t="s">
        <v>203</v>
      </c>
      <c r="B269" t="s">
        <v>204</v>
      </c>
      <c r="C269">
        <v>-103.16687732373499</v>
      </c>
      <c r="D269">
        <v>397.78957125103602</v>
      </c>
      <c r="E269">
        <v>0.80191395606566795</v>
      </c>
      <c r="F269">
        <v>160.00388621252901</v>
      </c>
      <c r="G269">
        <v>164.00388621252901</v>
      </c>
      <c r="I269" t="s">
        <v>203</v>
      </c>
      <c r="J269" t="s">
        <v>204</v>
      </c>
      <c r="K269">
        <v>-947.70914512681202</v>
      </c>
      <c r="L269">
        <v>422.36644182959401</v>
      </c>
      <c r="M269">
        <v>5.5097110225334103E-2</v>
      </c>
      <c r="N269">
        <v>158.38826618656</v>
      </c>
      <c r="O269" s="23">
        <v>9.9999999999999903E-8</v>
      </c>
      <c r="P269">
        <v>162.38826618656</v>
      </c>
      <c r="R269" t="s">
        <v>203</v>
      </c>
      <c r="S269" t="s">
        <v>204</v>
      </c>
      <c r="T269">
        <v>-947.69913141931897</v>
      </c>
      <c r="U269">
        <v>422.36830883834199</v>
      </c>
      <c r="V269">
        <v>5.5100001269887601E-2</v>
      </c>
      <c r="W269">
        <v>158.38833927885901</v>
      </c>
      <c r="X269">
        <v>4.23336542499095</v>
      </c>
      <c r="Y269">
        <v>162.38833927885901</v>
      </c>
      <c r="AA269" t="str">
        <f t="shared" si="8"/>
        <v xml:space="preserve"> </v>
      </c>
      <c r="AC269">
        <f t="shared" si="9"/>
        <v>5.5097110225334103E-2</v>
      </c>
    </row>
    <row r="270" spans="1:29" x14ac:dyDescent="0.2">
      <c r="A270" t="s">
        <v>203</v>
      </c>
      <c r="B270" t="s">
        <v>206</v>
      </c>
      <c r="C270">
        <v>58.684871312345301</v>
      </c>
      <c r="D270">
        <v>42.896163902421002</v>
      </c>
      <c r="E270">
        <v>0.20847934777594501</v>
      </c>
      <c r="F270">
        <v>157.98539861657801</v>
      </c>
      <c r="G270">
        <v>161.98539861657801</v>
      </c>
      <c r="I270" t="s">
        <v>203</v>
      </c>
      <c r="J270" t="s">
        <v>206</v>
      </c>
      <c r="K270">
        <v>105.29153284808299</v>
      </c>
      <c r="L270">
        <v>36.275355758999901</v>
      </c>
      <c r="M270">
        <v>1.9813664801813499E-2</v>
      </c>
      <c r="N270">
        <v>156.07642511253201</v>
      </c>
      <c r="O270" s="23">
        <v>2.0035772818915201E-7</v>
      </c>
      <c r="P270">
        <v>160.07642511253201</v>
      </c>
      <c r="R270" t="s">
        <v>203</v>
      </c>
      <c r="S270" t="s">
        <v>206</v>
      </c>
      <c r="T270">
        <v>105.078740431412</v>
      </c>
      <c r="U270">
        <v>36.3394583201869</v>
      </c>
      <c r="V270">
        <v>2.0150006332976499E-2</v>
      </c>
      <c r="W270">
        <v>156.075219445127</v>
      </c>
      <c r="X270">
        <v>1.4711902284492999</v>
      </c>
      <c r="Y270">
        <v>160.075219445127</v>
      </c>
      <c r="AA270" t="str">
        <f t="shared" si="8"/>
        <v xml:space="preserve"> </v>
      </c>
      <c r="AC270">
        <f t="shared" si="9"/>
        <v>1.9813664801813499E-2</v>
      </c>
    </row>
    <row r="271" spans="1:29" x14ac:dyDescent="0.2">
      <c r="A271" t="s">
        <v>203</v>
      </c>
      <c r="B271" t="s">
        <v>205</v>
      </c>
      <c r="C271">
        <v>33.251401267812099</v>
      </c>
      <c r="D271">
        <v>864.24378985414796</v>
      </c>
      <c r="E271">
        <v>0.970252105532322</v>
      </c>
      <c r="F271">
        <v>160.085762805684</v>
      </c>
      <c r="G271">
        <v>164.085762805684</v>
      </c>
      <c r="I271" t="s">
        <v>203</v>
      </c>
      <c r="J271" t="s">
        <v>205</v>
      </c>
      <c r="K271">
        <v>-1136.88248189455</v>
      </c>
      <c r="L271">
        <v>589.74776636903505</v>
      </c>
      <c r="M271">
        <v>9.0033602216478104E-2</v>
      </c>
      <c r="N271">
        <v>159.454675310525</v>
      </c>
      <c r="O271" s="23">
        <v>9.9999999999999903E-8</v>
      </c>
      <c r="P271">
        <v>163.454675310525</v>
      </c>
      <c r="R271" t="s">
        <v>203</v>
      </c>
      <c r="S271" t="s">
        <v>205</v>
      </c>
      <c r="T271">
        <v>-1136.8819230512099</v>
      </c>
      <c r="U271">
        <v>589.75279893204595</v>
      </c>
      <c r="V271">
        <v>9.0036019153792293E-2</v>
      </c>
      <c r="W271">
        <v>159.45468988255999</v>
      </c>
      <c r="X271">
        <v>4.23336542499095</v>
      </c>
      <c r="Y271">
        <v>163.45468988255999</v>
      </c>
      <c r="AA271" t="str">
        <f t="shared" si="8"/>
        <v xml:space="preserve"> </v>
      </c>
      <c r="AC271">
        <f t="shared" si="9"/>
        <v>9.0033602216478104E-2</v>
      </c>
    </row>
    <row r="272" spans="1:29" x14ac:dyDescent="0.2">
      <c r="A272" t="s">
        <v>203</v>
      </c>
      <c r="B272" t="s">
        <v>207</v>
      </c>
      <c r="C272">
        <v>-2.3608297963177001</v>
      </c>
      <c r="D272">
        <v>3.4352174443056702</v>
      </c>
      <c r="E272">
        <v>0.51135702973957597</v>
      </c>
      <c r="F272">
        <v>159.51400445149699</v>
      </c>
      <c r="G272">
        <v>163.51400445149699</v>
      </c>
      <c r="I272" t="s">
        <v>203</v>
      </c>
      <c r="J272" t="s">
        <v>207</v>
      </c>
      <c r="K272">
        <v>-2.7615457349583599</v>
      </c>
      <c r="L272">
        <v>3.8759912973784698</v>
      </c>
      <c r="M272">
        <v>0.49642194741718498</v>
      </c>
      <c r="N272">
        <v>160.82716546626</v>
      </c>
      <c r="O272">
        <v>0.60572679890512304</v>
      </c>
      <c r="P272">
        <v>164.82716546626</v>
      </c>
      <c r="R272" t="s">
        <v>203</v>
      </c>
      <c r="S272" t="s">
        <v>207</v>
      </c>
      <c r="T272">
        <v>-2.4466462877809398</v>
      </c>
      <c r="U272">
        <v>3.7628198013482299</v>
      </c>
      <c r="V272">
        <v>0.53377562291573899</v>
      </c>
      <c r="W272">
        <v>160.38863072822201</v>
      </c>
      <c r="X272">
        <v>0.13421628987254899</v>
      </c>
      <c r="Y272">
        <v>164.38863072822201</v>
      </c>
      <c r="AA272" t="str">
        <f t="shared" si="8"/>
        <v xml:space="preserve"> </v>
      </c>
      <c r="AC272">
        <f t="shared" si="9"/>
        <v>0.49642194741718498</v>
      </c>
    </row>
    <row r="273" spans="1:29" x14ac:dyDescent="0.2">
      <c r="A273" t="s">
        <v>203</v>
      </c>
      <c r="B273" t="s">
        <v>208</v>
      </c>
      <c r="C273">
        <v>-124.132630742785</v>
      </c>
      <c r="D273">
        <v>225.91125675262501</v>
      </c>
      <c r="E273">
        <v>0.59767919129132796</v>
      </c>
      <c r="F273">
        <v>159.717156687737</v>
      </c>
      <c r="G273">
        <v>163.717156687737</v>
      </c>
      <c r="I273" t="s">
        <v>203</v>
      </c>
      <c r="J273" t="s">
        <v>208</v>
      </c>
      <c r="K273">
        <v>-254.064064314446</v>
      </c>
      <c r="L273">
        <v>267.86556530256001</v>
      </c>
      <c r="M273">
        <v>0.37065428664739503</v>
      </c>
      <c r="N273">
        <v>160.708170396946</v>
      </c>
      <c r="O273">
        <v>0.29755570879430698</v>
      </c>
      <c r="P273">
        <v>164.708170396946</v>
      </c>
      <c r="R273" t="s">
        <v>203</v>
      </c>
      <c r="S273" t="s">
        <v>208</v>
      </c>
      <c r="T273">
        <v>-219.45947244142201</v>
      </c>
      <c r="U273">
        <v>253.84445482652299</v>
      </c>
      <c r="V273">
        <v>0.41246090148999598</v>
      </c>
      <c r="W273">
        <v>160.13420039320599</v>
      </c>
      <c r="X273">
        <v>0.20094540316237</v>
      </c>
      <c r="Y273">
        <v>164.13420039320599</v>
      </c>
      <c r="AA273" t="str">
        <f t="shared" si="8"/>
        <v xml:space="preserve"> </v>
      </c>
      <c r="AC273">
        <f t="shared" si="9"/>
        <v>0.37065428664739503</v>
      </c>
    </row>
    <row r="274" spans="1:29" x14ac:dyDescent="0.2">
      <c r="A274" t="s">
        <v>203</v>
      </c>
      <c r="B274" t="s">
        <v>209</v>
      </c>
      <c r="C274">
        <v>-1.56359028960975</v>
      </c>
      <c r="D274">
        <v>1.38058672766399</v>
      </c>
      <c r="E274">
        <v>0.29020197087756899</v>
      </c>
      <c r="F274">
        <v>158.600524739609</v>
      </c>
      <c r="G274">
        <v>162.600524739609</v>
      </c>
      <c r="I274" t="s">
        <v>203</v>
      </c>
      <c r="J274" t="s">
        <v>209</v>
      </c>
      <c r="K274">
        <v>-1.4827735380099101</v>
      </c>
      <c r="L274">
        <v>1.41236059262231</v>
      </c>
      <c r="M274">
        <v>0.32446226083713597</v>
      </c>
      <c r="N274">
        <v>160.59535391613599</v>
      </c>
      <c r="O274">
        <v>0.93227414716703005</v>
      </c>
      <c r="P274">
        <v>164.59535391613599</v>
      </c>
      <c r="R274" t="s">
        <v>203</v>
      </c>
      <c r="S274" t="s">
        <v>209</v>
      </c>
      <c r="T274">
        <v>-1.3556920216794</v>
      </c>
      <c r="U274">
        <v>1.4934520224621</v>
      </c>
      <c r="V274">
        <v>0.39053093761346103</v>
      </c>
      <c r="W274">
        <v>160.04311977824199</v>
      </c>
      <c r="X274">
        <v>9.3371309421287393E-2</v>
      </c>
      <c r="Y274">
        <v>164.04311977824199</v>
      </c>
      <c r="AA274" t="str">
        <f t="shared" si="8"/>
        <v xml:space="preserve"> </v>
      </c>
      <c r="AC274">
        <f t="shared" si="9"/>
        <v>0.29020197087756899</v>
      </c>
    </row>
    <row r="275" spans="1:29" x14ac:dyDescent="0.2">
      <c r="A275" t="s">
        <v>203</v>
      </c>
      <c r="B275" t="s">
        <v>210</v>
      </c>
      <c r="C275">
        <v>-458.90123251832102</v>
      </c>
      <c r="D275">
        <v>271.20149804550402</v>
      </c>
      <c r="E275">
        <v>0.129085650860715</v>
      </c>
      <c r="F275">
        <v>157.02820336573799</v>
      </c>
      <c r="G275">
        <v>161.02820336573799</v>
      </c>
      <c r="I275" t="s">
        <v>203</v>
      </c>
      <c r="J275" t="s">
        <v>210</v>
      </c>
      <c r="K275">
        <v>-576.64096358647896</v>
      </c>
      <c r="L275">
        <v>313.13786344580097</v>
      </c>
      <c r="M275">
        <v>0.10280982594684999</v>
      </c>
      <c r="N275">
        <v>157.99337153637799</v>
      </c>
      <c r="O275">
        <v>0.74511584109872397</v>
      </c>
      <c r="P275">
        <v>161.99337153637799</v>
      </c>
      <c r="R275" t="s">
        <v>203</v>
      </c>
      <c r="S275" t="s">
        <v>210</v>
      </c>
      <c r="T275">
        <v>-486.95102715798498</v>
      </c>
      <c r="U275">
        <v>304.23520112367601</v>
      </c>
      <c r="V275">
        <v>0.148138827996319</v>
      </c>
      <c r="W275">
        <v>158.20011627219</v>
      </c>
      <c r="X275">
        <v>0.103048028704554</v>
      </c>
      <c r="Y275">
        <v>162.20011627219</v>
      </c>
      <c r="AA275" t="str">
        <f t="shared" si="8"/>
        <v xml:space="preserve"> </v>
      </c>
      <c r="AC275">
        <f t="shared" si="9"/>
        <v>0.10280982594684999</v>
      </c>
    </row>
    <row r="276" spans="1:29" x14ac:dyDescent="0.2">
      <c r="A276" t="s">
        <v>203</v>
      </c>
      <c r="B276" t="s">
        <v>4</v>
      </c>
      <c r="C276">
        <v>-348.75087714854197</v>
      </c>
      <c r="D276">
        <v>285.57438332145898</v>
      </c>
      <c r="E276">
        <v>0.256766597234317</v>
      </c>
      <c r="F276">
        <v>158.37817445888999</v>
      </c>
      <c r="G276">
        <v>162.37817445888999</v>
      </c>
      <c r="I276" t="s">
        <v>203</v>
      </c>
      <c r="J276" t="s">
        <v>4</v>
      </c>
      <c r="K276">
        <v>-348.75087714854197</v>
      </c>
      <c r="L276">
        <v>285.57438332145898</v>
      </c>
      <c r="M276">
        <v>0.256766597234317</v>
      </c>
      <c r="N276">
        <v>160.37817445888999</v>
      </c>
      <c r="O276">
        <v>1</v>
      </c>
      <c r="P276">
        <v>164.37817445888999</v>
      </c>
      <c r="R276" t="s">
        <v>203</v>
      </c>
      <c r="S276" t="s">
        <v>4</v>
      </c>
      <c r="T276">
        <v>-292.84481304357701</v>
      </c>
      <c r="U276">
        <v>305.85200462592002</v>
      </c>
      <c r="V276">
        <v>0.36636560427478199</v>
      </c>
      <c r="W276">
        <v>160.08922072448999</v>
      </c>
      <c r="X276">
        <v>7.0812629512872802E-2</v>
      </c>
      <c r="Y276">
        <v>164.08922072448999</v>
      </c>
      <c r="AA276" t="str">
        <f t="shared" si="8"/>
        <v xml:space="preserve"> </v>
      </c>
      <c r="AC276">
        <f t="shared" si="9"/>
        <v>0.256766597234317</v>
      </c>
    </row>
    <row r="277" spans="1:29" x14ac:dyDescent="0.2">
      <c r="A277" t="s">
        <v>203</v>
      </c>
      <c r="B277" t="s">
        <v>3</v>
      </c>
      <c r="C277">
        <v>3357.0730651017102</v>
      </c>
      <c r="D277">
        <v>3005.3368608155902</v>
      </c>
      <c r="E277">
        <v>0.29640064244964998</v>
      </c>
      <c r="F277">
        <v>158.63820173051701</v>
      </c>
      <c r="G277">
        <v>162.63820173051701</v>
      </c>
      <c r="I277" t="s">
        <v>203</v>
      </c>
      <c r="J277" t="s">
        <v>3</v>
      </c>
      <c r="K277">
        <v>3357.0730651017102</v>
      </c>
      <c r="L277">
        <v>3005.3368608155902</v>
      </c>
      <c r="M277">
        <v>0.29640064244964998</v>
      </c>
      <c r="N277">
        <v>160.63820173051701</v>
      </c>
      <c r="O277">
        <v>1</v>
      </c>
      <c r="P277">
        <v>164.63820173051701</v>
      </c>
      <c r="R277" t="s">
        <v>203</v>
      </c>
      <c r="S277" t="s">
        <v>3</v>
      </c>
      <c r="T277">
        <v>2636.39728816562</v>
      </c>
      <c r="U277">
        <v>3195.4472696689099</v>
      </c>
      <c r="V277">
        <v>0.43325506981332002</v>
      </c>
      <c r="W277">
        <v>160.34366935157999</v>
      </c>
      <c r="X277">
        <v>7.2540215754415605E-2</v>
      </c>
      <c r="Y277">
        <v>164.34366935157999</v>
      </c>
      <c r="AA277" t="str">
        <f t="shared" si="8"/>
        <v xml:space="preserve"> </v>
      </c>
      <c r="AC277">
        <f t="shared" si="9"/>
        <v>0.29640064244964998</v>
      </c>
    </row>
    <row r="278" spans="1:29" x14ac:dyDescent="0.2">
      <c r="A278" t="s">
        <v>203</v>
      </c>
      <c r="B278" t="s">
        <v>211</v>
      </c>
      <c r="C278">
        <v>131.95727028425699</v>
      </c>
      <c r="D278">
        <v>553.51858859245499</v>
      </c>
      <c r="E278">
        <v>0.81756606003680898</v>
      </c>
      <c r="F278">
        <v>160.01682263653299</v>
      </c>
      <c r="G278">
        <v>164.01682263653299</v>
      </c>
      <c r="I278" t="s">
        <v>203</v>
      </c>
      <c r="J278" t="s">
        <v>211</v>
      </c>
      <c r="K278">
        <v>40.480827005174</v>
      </c>
      <c r="L278">
        <v>845.76031791165497</v>
      </c>
      <c r="M278">
        <v>0.96299855878216001</v>
      </c>
      <c r="N278">
        <v>161.438676911155</v>
      </c>
      <c r="O278">
        <v>0.59459279153645705</v>
      </c>
      <c r="P278">
        <v>165.438676911155</v>
      </c>
      <c r="R278" t="s">
        <v>203</v>
      </c>
      <c r="S278" t="s">
        <v>211</v>
      </c>
      <c r="T278">
        <v>90.794107708624296</v>
      </c>
      <c r="U278">
        <v>678.88205168658396</v>
      </c>
      <c r="V278">
        <v>0.89691088173835098</v>
      </c>
      <c r="W278">
        <v>160.87841821823099</v>
      </c>
      <c r="X278">
        <v>0.13967907274087801</v>
      </c>
      <c r="Y278">
        <v>164.87841821823099</v>
      </c>
      <c r="AA278" t="str">
        <f t="shared" si="8"/>
        <v xml:space="preserve"> </v>
      </c>
      <c r="AC278">
        <f t="shared" si="9"/>
        <v>0.81756606003680898</v>
      </c>
    </row>
    <row r="279" spans="1:29" x14ac:dyDescent="0.2">
      <c r="A279" t="s">
        <v>203</v>
      </c>
      <c r="B279" t="s">
        <v>212</v>
      </c>
      <c r="C279">
        <v>2933.8952675352698</v>
      </c>
      <c r="D279">
        <v>891.88934914724098</v>
      </c>
      <c r="E279">
        <v>1.10297985877186E-2</v>
      </c>
      <c r="F279">
        <v>151.532297581356</v>
      </c>
      <c r="G279">
        <v>155.532297581356</v>
      </c>
      <c r="I279" t="s">
        <v>203</v>
      </c>
      <c r="J279" t="s">
        <v>212</v>
      </c>
      <c r="K279">
        <v>3025.5742231055501</v>
      </c>
      <c r="L279">
        <v>896.04835268874695</v>
      </c>
      <c r="M279">
        <v>9.6906997754899107E-3</v>
      </c>
      <c r="N279">
        <v>152.68393676591199</v>
      </c>
      <c r="O279">
        <v>0.75843539327723797</v>
      </c>
      <c r="P279">
        <v>156.68393676591199</v>
      </c>
      <c r="R279" t="s">
        <v>203</v>
      </c>
      <c r="S279" t="s">
        <v>212</v>
      </c>
      <c r="T279">
        <v>2970.51467877699</v>
      </c>
      <c r="U279">
        <v>935.89769748161996</v>
      </c>
      <c r="V279">
        <v>1.3115926191654101E-2</v>
      </c>
      <c r="W279">
        <v>152.968218907817</v>
      </c>
      <c r="X279">
        <v>7.8066179531351407E-2</v>
      </c>
      <c r="Y279">
        <v>156.968218907817</v>
      </c>
      <c r="AA279" t="str">
        <f t="shared" si="8"/>
        <v xml:space="preserve"> </v>
      </c>
      <c r="AC279">
        <f t="shared" si="9"/>
        <v>9.6906997754899107E-3</v>
      </c>
    </row>
    <row r="280" spans="1:29" x14ac:dyDescent="0.2">
      <c r="A280" t="s">
        <v>203</v>
      </c>
      <c r="B280" t="s">
        <v>213</v>
      </c>
      <c r="C280">
        <v>136.700558115782</v>
      </c>
      <c r="D280">
        <v>1215.8738085673299</v>
      </c>
      <c r="E280">
        <v>0.91325249409110798</v>
      </c>
      <c r="F280">
        <v>160.071824869121</v>
      </c>
      <c r="G280">
        <v>164.071824869121</v>
      </c>
      <c r="I280" t="s">
        <v>203</v>
      </c>
      <c r="J280" t="s">
        <v>213</v>
      </c>
      <c r="K280">
        <v>-1026.9516189154201</v>
      </c>
      <c r="L280">
        <v>1468.3886461168099</v>
      </c>
      <c r="M280">
        <v>0.50414213900183402</v>
      </c>
      <c r="N280">
        <v>161.19537982839299</v>
      </c>
      <c r="O280">
        <v>0.29161987209878898</v>
      </c>
      <c r="P280">
        <v>165.19537982839299</v>
      </c>
      <c r="R280" t="s">
        <v>203</v>
      </c>
      <c r="S280" t="s">
        <v>213</v>
      </c>
      <c r="T280">
        <v>-567.95091471130297</v>
      </c>
      <c r="U280">
        <v>1362.63029375059</v>
      </c>
      <c r="V280">
        <v>0.68778028603120001</v>
      </c>
      <c r="W280">
        <v>160.76178696057099</v>
      </c>
      <c r="X280">
        <v>0.186763691142104</v>
      </c>
      <c r="Y280">
        <v>164.76178696057099</v>
      </c>
      <c r="AA280" t="str">
        <f t="shared" si="8"/>
        <v xml:space="preserve"> </v>
      </c>
      <c r="AC280">
        <f t="shared" si="9"/>
        <v>0.50414213900183402</v>
      </c>
    </row>
    <row r="281" spans="1:29" x14ac:dyDescent="0.2">
      <c r="A281" t="s">
        <v>203</v>
      </c>
      <c r="B281" t="s">
        <v>214</v>
      </c>
      <c r="C281">
        <v>3.6479866527221197E-2</v>
      </c>
      <c r="D281">
        <v>3.06892704904917</v>
      </c>
      <c r="E281">
        <v>0.99080697929683303</v>
      </c>
      <c r="F281">
        <v>160.08743637955601</v>
      </c>
      <c r="G281">
        <v>164.08743637955601</v>
      </c>
      <c r="I281" t="s">
        <v>203</v>
      </c>
      <c r="J281" t="s">
        <v>214</v>
      </c>
      <c r="K281">
        <v>-0.74647962705155901</v>
      </c>
      <c r="L281">
        <v>3.7281526141596402</v>
      </c>
      <c r="M281">
        <v>0.84629876012039396</v>
      </c>
      <c r="N281">
        <v>161.39466884874301</v>
      </c>
      <c r="O281">
        <v>0.55930290647301995</v>
      </c>
      <c r="P281">
        <v>165.39466884874301</v>
      </c>
      <c r="R281" t="s">
        <v>203</v>
      </c>
      <c r="S281" t="s">
        <v>214</v>
      </c>
      <c r="T281">
        <v>-0.57715477934179604</v>
      </c>
      <c r="U281">
        <v>3.4789871082586599</v>
      </c>
      <c r="V281">
        <v>0.87235366636428002</v>
      </c>
      <c r="W281">
        <v>160.868029220772</v>
      </c>
      <c r="X281">
        <v>0.149425338800144</v>
      </c>
      <c r="Y281">
        <v>164.868029220772</v>
      </c>
      <c r="AA281" t="str">
        <f t="shared" si="8"/>
        <v xml:space="preserve"> </v>
      </c>
      <c r="AC281">
        <f t="shared" si="9"/>
        <v>0.84629876012039396</v>
      </c>
    </row>
    <row r="282" spans="1:29" x14ac:dyDescent="0.2">
      <c r="A282" t="s">
        <v>203</v>
      </c>
      <c r="B282" t="s">
        <v>215</v>
      </c>
      <c r="C282">
        <v>748.49126601161402</v>
      </c>
      <c r="D282">
        <v>496.72371156147398</v>
      </c>
      <c r="E282">
        <v>0.17027275511123899</v>
      </c>
      <c r="F282">
        <v>157.589158408071</v>
      </c>
      <c r="G282">
        <v>161.589158408071</v>
      </c>
      <c r="I282" t="s">
        <v>203</v>
      </c>
      <c r="J282" t="s">
        <v>215</v>
      </c>
      <c r="K282">
        <v>748.49126601161402</v>
      </c>
      <c r="L282">
        <v>496.72371156147398</v>
      </c>
      <c r="M282">
        <v>0.17027275511123899</v>
      </c>
      <c r="N282">
        <v>159.589158408071</v>
      </c>
      <c r="O282">
        <v>1</v>
      </c>
      <c r="P282">
        <v>163.589158408071</v>
      </c>
      <c r="R282" t="s">
        <v>203</v>
      </c>
      <c r="S282" t="s">
        <v>215</v>
      </c>
      <c r="T282">
        <v>735.32179961369695</v>
      </c>
      <c r="U282">
        <v>498.72337172118301</v>
      </c>
      <c r="V282">
        <v>0.17860214605557301</v>
      </c>
      <c r="W282">
        <v>159.58677531056901</v>
      </c>
      <c r="X282">
        <v>5.6065135829818698E-3</v>
      </c>
      <c r="Y282">
        <v>163.58677531056901</v>
      </c>
      <c r="AA282" t="str">
        <f t="shared" si="8"/>
        <v xml:space="preserve"> </v>
      </c>
      <c r="AC282">
        <f t="shared" si="9"/>
        <v>0.17027275511123899</v>
      </c>
    </row>
    <row r="283" spans="1:29" x14ac:dyDescent="0.2">
      <c r="A283" t="s">
        <v>203</v>
      </c>
      <c r="B283" t="s">
        <v>25</v>
      </c>
      <c r="C283">
        <v>1.28312487054254</v>
      </c>
      <c r="D283">
        <v>1.3751772505270301</v>
      </c>
      <c r="E283">
        <v>0.37808912279308299</v>
      </c>
      <c r="F283">
        <v>159.05459991529801</v>
      </c>
      <c r="G283">
        <v>163.05459991529801</v>
      </c>
      <c r="I283" t="s">
        <v>203</v>
      </c>
      <c r="J283" t="s">
        <v>25</v>
      </c>
      <c r="K283">
        <v>2.4604936747448298</v>
      </c>
      <c r="L283">
        <v>1.68960459024812</v>
      </c>
      <c r="M283">
        <v>0.18341863281363499</v>
      </c>
      <c r="N283">
        <v>159.21718536218901</v>
      </c>
      <c r="O283">
        <v>0.40370092555574599</v>
      </c>
      <c r="P283">
        <v>163.21718536218901</v>
      </c>
      <c r="R283" t="s">
        <v>203</v>
      </c>
      <c r="S283" t="s">
        <v>25</v>
      </c>
      <c r="T283">
        <v>1.86495004913606</v>
      </c>
      <c r="U283">
        <v>1.58715633420596</v>
      </c>
      <c r="V283">
        <v>0.273769825069829</v>
      </c>
      <c r="W283">
        <v>159.381236187544</v>
      </c>
      <c r="X283">
        <v>0.18573496983051799</v>
      </c>
      <c r="Y283">
        <v>163.381236187544</v>
      </c>
      <c r="AA283" t="str">
        <f t="shared" si="8"/>
        <v xml:space="preserve"> </v>
      </c>
      <c r="AC283">
        <f t="shared" si="9"/>
        <v>0.18341863281363499</v>
      </c>
    </row>
    <row r="284" spans="1:29" x14ac:dyDescent="0.2">
      <c r="A284" t="s">
        <v>203</v>
      </c>
      <c r="B284" t="s">
        <v>24</v>
      </c>
      <c r="C284">
        <v>-1108.43412379798</v>
      </c>
      <c r="D284">
        <v>630.07114165563701</v>
      </c>
      <c r="E284">
        <v>0.116585088887682</v>
      </c>
      <c r="F284">
        <v>156.81721167301501</v>
      </c>
      <c r="G284">
        <v>160.81721167301501</v>
      </c>
      <c r="I284" t="s">
        <v>203</v>
      </c>
      <c r="J284" t="s">
        <v>24</v>
      </c>
      <c r="K284">
        <v>-1108.43412379798</v>
      </c>
      <c r="L284">
        <v>630.07114165563701</v>
      </c>
      <c r="M284">
        <v>0.116585088887682</v>
      </c>
      <c r="N284">
        <v>158.81721167301501</v>
      </c>
      <c r="O284">
        <v>1</v>
      </c>
      <c r="P284">
        <v>162.81721167301501</v>
      </c>
      <c r="R284" t="s">
        <v>203</v>
      </c>
      <c r="S284" t="s">
        <v>24</v>
      </c>
      <c r="T284">
        <v>-1051.66158508325</v>
      </c>
      <c r="U284">
        <v>639.94248611827004</v>
      </c>
      <c r="V284">
        <v>0.13893007785585801</v>
      </c>
      <c r="W284">
        <v>158.76342623378599</v>
      </c>
      <c r="X284">
        <v>2.6079270090876301E-2</v>
      </c>
      <c r="Y284">
        <v>162.76342623378599</v>
      </c>
      <c r="AA284" t="str">
        <f t="shared" si="8"/>
        <v xml:space="preserve"> </v>
      </c>
      <c r="AC284">
        <f t="shared" si="9"/>
        <v>0.116585088887682</v>
      </c>
    </row>
    <row r="285" spans="1:29" x14ac:dyDescent="0.2">
      <c r="A285" t="s">
        <v>203</v>
      </c>
      <c r="B285" t="s">
        <v>23</v>
      </c>
      <c r="C285">
        <v>211.55989102285201</v>
      </c>
      <c r="D285">
        <v>104.565625035387</v>
      </c>
      <c r="E285">
        <v>7.7669064235836097E-2</v>
      </c>
      <c r="F285">
        <v>155.95539400573699</v>
      </c>
      <c r="G285">
        <v>159.95539400573699</v>
      </c>
      <c r="I285" t="s">
        <v>203</v>
      </c>
      <c r="J285" t="s">
        <v>23</v>
      </c>
      <c r="K285">
        <v>211.55989102285201</v>
      </c>
      <c r="L285">
        <v>104.565625035387</v>
      </c>
      <c r="M285">
        <v>7.7669064235836097E-2</v>
      </c>
      <c r="N285">
        <v>157.95539400573699</v>
      </c>
      <c r="O285">
        <v>1</v>
      </c>
      <c r="P285">
        <v>161.95539400573699</v>
      </c>
      <c r="R285" t="s">
        <v>203</v>
      </c>
      <c r="S285" t="s">
        <v>23</v>
      </c>
      <c r="T285">
        <v>203.28842418744799</v>
      </c>
      <c r="U285">
        <v>106.64851323871</v>
      </c>
      <c r="V285">
        <v>9.3081333519468096E-2</v>
      </c>
      <c r="W285">
        <v>157.87297830102401</v>
      </c>
      <c r="X285">
        <v>3.0011804220113101E-2</v>
      </c>
      <c r="Y285">
        <v>161.87297830102401</v>
      </c>
      <c r="AA285" t="str">
        <f t="shared" si="8"/>
        <v xml:space="preserve"> </v>
      </c>
      <c r="AC285">
        <f t="shared" si="9"/>
        <v>7.7669064235836097E-2</v>
      </c>
    </row>
    <row r="286" spans="1:29" x14ac:dyDescent="0.2">
      <c r="A286" t="s">
        <v>203</v>
      </c>
      <c r="B286" t="s">
        <v>220</v>
      </c>
      <c r="C286">
        <v>-0.78429237649225503</v>
      </c>
      <c r="D286">
        <v>0.54681502958565198</v>
      </c>
      <c r="E286">
        <v>0.18939880479690199</v>
      </c>
      <c r="F286">
        <v>157.799147118646</v>
      </c>
      <c r="G286">
        <v>161.799147118646</v>
      </c>
      <c r="I286" t="s">
        <v>203</v>
      </c>
      <c r="J286" t="s">
        <v>220</v>
      </c>
      <c r="K286">
        <v>-0.77684381873145403</v>
      </c>
      <c r="L286">
        <v>0.55142599923501401</v>
      </c>
      <c r="M286">
        <v>0.19655735350110001</v>
      </c>
      <c r="N286">
        <v>159.79023995259601</v>
      </c>
      <c r="O286">
        <v>0.97348480100972101</v>
      </c>
      <c r="P286">
        <v>163.79023995259601</v>
      </c>
      <c r="R286" t="s">
        <v>203</v>
      </c>
      <c r="S286" t="s">
        <v>220</v>
      </c>
      <c r="T286">
        <v>-0.700907377229537</v>
      </c>
      <c r="U286">
        <v>0.56502725286868805</v>
      </c>
      <c r="V286">
        <v>0.24994184789048501</v>
      </c>
      <c r="W286">
        <v>159.60437501565801</v>
      </c>
      <c r="X286">
        <v>5.0776568717478703E-2</v>
      </c>
      <c r="Y286">
        <v>163.60437501565801</v>
      </c>
      <c r="AA286" t="str">
        <f t="shared" si="8"/>
        <v xml:space="preserve"> </v>
      </c>
      <c r="AC286">
        <f t="shared" si="9"/>
        <v>0.18939880479690199</v>
      </c>
    </row>
    <row r="287" spans="1:29" x14ac:dyDescent="0.2">
      <c r="A287" t="s">
        <v>204</v>
      </c>
      <c r="B287" t="s">
        <v>206</v>
      </c>
      <c r="C287">
        <v>-4.6982221480168902E-2</v>
      </c>
      <c r="D287">
        <v>3.8765715908329702E-2</v>
      </c>
      <c r="E287">
        <v>0.260107631019244</v>
      </c>
      <c r="F287">
        <v>17.805369896802599</v>
      </c>
      <c r="G287">
        <v>21.805369896802599</v>
      </c>
      <c r="I287" t="s">
        <v>204</v>
      </c>
      <c r="J287" t="s">
        <v>206</v>
      </c>
      <c r="K287">
        <v>-5.1709399019235699E-2</v>
      </c>
      <c r="L287">
        <v>2.6057587370865599E-2</v>
      </c>
      <c r="M287">
        <v>8.2481506500065402E-2</v>
      </c>
      <c r="N287">
        <v>11.042686096190099</v>
      </c>
      <c r="O287">
        <v>0.20803240584629401</v>
      </c>
      <c r="P287">
        <v>15.042686096190099</v>
      </c>
      <c r="R287" t="s">
        <v>204</v>
      </c>
      <c r="S287" t="s">
        <v>206</v>
      </c>
      <c r="T287">
        <v>-6.21142378285022E-2</v>
      </c>
      <c r="U287">
        <v>2.6069095078510299E-2</v>
      </c>
      <c r="V287">
        <v>4.4359931829606E-2</v>
      </c>
      <c r="W287">
        <v>11.313519262232299</v>
      </c>
      <c r="X287">
        <v>4.23336542499095</v>
      </c>
      <c r="Y287">
        <v>15.313519262232299</v>
      </c>
      <c r="AA287" t="str">
        <f t="shared" si="8"/>
        <v xml:space="preserve">P &amp; OU </v>
      </c>
      <c r="AC287">
        <f t="shared" si="9"/>
        <v>4.4359931829606E-2</v>
      </c>
    </row>
    <row r="288" spans="1:29" x14ac:dyDescent="0.2">
      <c r="A288" t="s">
        <v>204</v>
      </c>
      <c r="B288" t="s">
        <v>205</v>
      </c>
      <c r="C288">
        <v>1.8469454164010899</v>
      </c>
      <c r="D288">
        <v>0.39852237683995101</v>
      </c>
      <c r="E288">
        <v>1.6782201521724101E-3</v>
      </c>
      <c r="F288">
        <v>6.4488323488390202</v>
      </c>
      <c r="G288">
        <v>10.448832348839</v>
      </c>
      <c r="I288" t="s">
        <v>204</v>
      </c>
      <c r="J288" t="s">
        <v>205</v>
      </c>
      <c r="K288">
        <v>1.19843369220337</v>
      </c>
      <c r="L288">
        <v>0.19880420992869599</v>
      </c>
      <c r="M288">
        <v>3.1340017652793498E-4</v>
      </c>
      <c r="N288">
        <v>-0.44791947228998902</v>
      </c>
      <c r="O288" s="23">
        <v>9.9999999999999903E-8</v>
      </c>
      <c r="P288">
        <v>3.55208052771001</v>
      </c>
      <c r="R288" t="s">
        <v>204</v>
      </c>
      <c r="S288" t="s">
        <v>205</v>
      </c>
      <c r="T288">
        <v>1.19843994602824</v>
      </c>
      <c r="U288">
        <v>0.198807253541955</v>
      </c>
      <c r="V288">
        <v>3.1342135530517898E-4</v>
      </c>
      <c r="W288">
        <v>-0.44776937815804102</v>
      </c>
      <c r="X288">
        <v>4.23336542499095</v>
      </c>
      <c r="Y288">
        <v>3.5522306218419599</v>
      </c>
      <c r="AA288" t="str">
        <f t="shared" si="8"/>
        <v xml:space="preserve">P &amp; OU </v>
      </c>
      <c r="AC288">
        <f t="shared" si="9"/>
        <v>3.1340017652793498E-4</v>
      </c>
    </row>
    <row r="289" spans="1:29" x14ac:dyDescent="0.2">
      <c r="A289" t="s">
        <v>204</v>
      </c>
      <c r="B289" t="s">
        <v>207</v>
      </c>
      <c r="C289">
        <v>-3.12109395121232E-3</v>
      </c>
      <c r="D289">
        <v>2.92787352445958E-3</v>
      </c>
      <c r="E289">
        <v>0.31753804638885003</v>
      </c>
      <c r="F289">
        <v>18.162822346526301</v>
      </c>
      <c r="G289">
        <v>22.162822346526301</v>
      </c>
      <c r="I289" t="s">
        <v>204</v>
      </c>
      <c r="J289" t="s">
        <v>207</v>
      </c>
      <c r="K289">
        <v>-1.3041760179505399E-3</v>
      </c>
      <c r="L289">
        <v>2.63446897837552E-3</v>
      </c>
      <c r="M289">
        <v>0.63387840994121503</v>
      </c>
      <c r="N289">
        <v>14.229206880082099</v>
      </c>
      <c r="O289">
        <v>0.43905941202957499</v>
      </c>
      <c r="P289">
        <v>18.229206880082099</v>
      </c>
      <c r="R289" t="s">
        <v>204</v>
      </c>
      <c r="S289" t="s">
        <v>207</v>
      </c>
      <c r="T289">
        <v>-2.0706851732658202E-3</v>
      </c>
      <c r="U289">
        <v>3.0685774545565602E-3</v>
      </c>
      <c r="V289">
        <v>0.51882310667806197</v>
      </c>
      <c r="W289">
        <v>16.147488891183698</v>
      </c>
      <c r="X289">
        <v>0.33898205687479099</v>
      </c>
      <c r="Y289">
        <v>20.147488891183698</v>
      </c>
      <c r="AA289" t="str">
        <f t="shared" si="8"/>
        <v xml:space="preserve">P &amp; OU </v>
      </c>
      <c r="AC289">
        <f t="shared" si="9"/>
        <v>0.31753804638885003</v>
      </c>
    </row>
    <row r="290" spans="1:29" x14ac:dyDescent="0.2">
      <c r="A290" t="s">
        <v>204</v>
      </c>
      <c r="B290" t="s">
        <v>208</v>
      </c>
      <c r="C290">
        <v>-0.37414902789078602</v>
      </c>
      <c r="D290">
        <v>0.154888413217321</v>
      </c>
      <c r="E290">
        <v>4.2138139354093003E-2</v>
      </c>
      <c r="F290">
        <v>14.0133049082523</v>
      </c>
      <c r="G290">
        <v>18.013304908252302</v>
      </c>
      <c r="I290" t="s">
        <v>204</v>
      </c>
      <c r="J290" t="s">
        <v>208</v>
      </c>
      <c r="K290">
        <v>1.9729450933775299E-3</v>
      </c>
      <c r="L290">
        <v>0.179550222118328</v>
      </c>
      <c r="M290">
        <v>0.99150189116719301</v>
      </c>
      <c r="N290">
        <v>14.5305030731058</v>
      </c>
      <c r="O290">
        <v>0.42989002513243602</v>
      </c>
      <c r="P290">
        <v>18.530503073105798</v>
      </c>
      <c r="R290" t="s">
        <v>204</v>
      </c>
      <c r="S290" t="s">
        <v>208</v>
      </c>
      <c r="T290">
        <v>-0.34109909283322398</v>
      </c>
      <c r="U290">
        <v>0.16235818632162799</v>
      </c>
      <c r="V290">
        <v>6.8840565323642897E-2</v>
      </c>
      <c r="W290">
        <v>15.962097163520101</v>
      </c>
      <c r="X290">
        <v>3.2119328775664799E-2</v>
      </c>
      <c r="Y290">
        <v>19.962097163520099</v>
      </c>
      <c r="AA290" t="str">
        <f t="shared" si="8"/>
        <v xml:space="preserve"> </v>
      </c>
      <c r="AC290">
        <f t="shared" si="9"/>
        <v>4.2138139354093003E-2</v>
      </c>
    </row>
    <row r="291" spans="1:29" x14ac:dyDescent="0.2">
      <c r="A291" t="s">
        <v>204</v>
      </c>
      <c r="B291" t="s">
        <v>209</v>
      </c>
      <c r="C291">
        <v>1.04967688562314E-3</v>
      </c>
      <c r="D291">
        <v>1.2628501883039699E-3</v>
      </c>
      <c r="E291">
        <v>0.42997071008446902</v>
      </c>
      <c r="F291">
        <v>18.6626720958451</v>
      </c>
      <c r="G291">
        <v>22.6626720958451</v>
      </c>
      <c r="I291" t="s">
        <v>204</v>
      </c>
      <c r="J291" t="s">
        <v>209</v>
      </c>
      <c r="K291">
        <v>5.6900169463631296E-4</v>
      </c>
      <c r="L291">
        <v>1.0633138215378399E-3</v>
      </c>
      <c r="M291">
        <v>0.60711592209644605</v>
      </c>
      <c r="N291">
        <v>14.204809524111299</v>
      </c>
      <c r="O291">
        <v>0.483325482432644</v>
      </c>
      <c r="P291">
        <v>18.204809524111301</v>
      </c>
      <c r="R291" t="s">
        <v>204</v>
      </c>
      <c r="S291" t="s">
        <v>209</v>
      </c>
      <c r="T291">
        <v>3.9595218166266899E-4</v>
      </c>
      <c r="U291">
        <v>1.30761966096691E-3</v>
      </c>
      <c r="V291">
        <v>0.76976347001021395</v>
      </c>
      <c r="W291">
        <v>16.578667608080998</v>
      </c>
      <c r="X291">
        <v>0.347637390677</v>
      </c>
      <c r="Y291">
        <v>20.578667608080998</v>
      </c>
      <c r="AA291" t="str">
        <f t="shared" si="8"/>
        <v xml:space="preserve">P &amp; OU </v>
      </c>
      <c r="AC291">
        <f t="shared" si="9"/>
        <v>0.42997071008446902</v>
      </c>
    </row>
    <row r="292" spans="1:29" x14ac:dyDescent="0.2">
      <c r="A292" t="s">
        <v>204</v>
      </c>
      <c r="B292" t="s">
        <v>210</v>
      </c>
      <c r="C292">
        <v>0.53529508165563</v>
      </c>
      <c r="D292">
        <v>0.20596296425405</v>
      </c>
      <c r="E292">
        <v>3.1667624967434499E-2</v>
      </c>
      <c r="F292">
        <v>13.369783538779201</v>
      </c>
      <c r="G292">
        <v>17.369783538779199</v>
      </c>
      <c r="I292" t="s">
        <v>204</v>
      </c>
      <c r="J292" t="s">
        <v>210</v>
      </c>
      <c r="K292">
        <v>0.38383755589556801</v>
      </c>
      <c r="L292">
        <v>0.22059048871405901</v>
      </c>
      <c r="M292">
        <v>0.120036020757496</v>
      </c>
      <c r="N292">
        <v>11.580691743347399</v>
      </c>
      <c r="O292">
        <v>0.58871355263981595</v>
      </c>
      <c r="P292">
        <v>15.580691743347399</v>
      </c>
      <c r="R292" t="s">
        <v>204</v>
      </c>
      <c r="S292" t="s">
        <v>210</v>
      </c>
      <c r="T292">
        <v>0.46653971424118501</v>
      </c>
      <c r="U292">
        <v>0.233682230796566</v>
      </c>
      <c r="V292">
        <v>8.0957643220978398E-2</v>
      </c>
      <c r="W292">
        <v>13.617598824164499</v>
      </c>
      <c r="X292">
        <v>0.153041234787686</v>
      </c>
      <c r="Y292">
        <v>17.617598824164499</v>
      </c>
      <c r="AA292" t="str">
        <f t="shared" si="8"/>
        <v xml:space="preserve"> </v>
      </c>
      <c r="AC292">
        <f t="shared" si="9"/>
        <v>3.1667624967434499E-2</v>
      </c>
    </row>
    <row r="293" spans="1:29" x14ac:dyDescent="0.2">
      <c r="A293" t="s">
        <v>204</v>
      </c>
      <c r="B293" t="s">
        <v>4</v>
      </c>
      <c r="C293">
        <v>-9.4560319388966002E-2</v>
      </c>
      <c r="D293">
        <v>0.27327303836585398</v>
      </c>
      <c r="E293">
        <v>0.73824520535541704</v>
      </c>
      <c r="F293">
        <v>19.342446953684099</v>
      </c>
      <c r="G293">
        <v>23.342446953684099</v>
      </c>
      <c r="I293" t="s">
        <v>204</v>
      </c>
      <c r="J293" t="s">
        <v>4</v>
      </c>
      <c r="K293">
        <v>-0.134184218134977</v>
      </c>
      <c r="L293">
        <v>0.22390861024160799</v>
      </c>
      <c r="M293">
        <v>0.56556619494313998</v>
      </c>
      <c r="N293">
        <v>14.1145569383675</v>
      </c>
      <c r="O293">
        <v>0.38481615484210102</v>
      </c>
      <c r="P293">
        <v>18.1145569383675</v>
      </c>
      <c r="R293" t="s">
        <v>204</v>
      </c>
      <c r="S293" t="s">
        <v>4</v>
      </c>
      <c r="T293">
        <v>-0.25590058547088002</v>
      </c>
      <c r="U293">
        <v>0.25720554359440201</v>
      </c>
      <c r="V293">
        <v>0.34890894798211602</v>
      </c>
      <c r="W293">
        <v>15.509791836639</v>
      </c>
      <c r="X293">
        <v>4.23336542499095</v>
      </c>
      <c r="Y293">
        <v>19.509791836639</v>
      </c>
      <c r="AA293" t="str">
        <f t="shared" si="8"/>
        <v xml:space="preserve">P &amp; OU </v>
      </c>
      <c r="AC293">
        <f t="shared" si="9"/>
        <v>0.34890894798211602</v>
      </c>
    </row>
    <row r="294" spans="1:29" x14ac:dyDescent="0.2">
      <c r="A294" t="s">
        <v>204</v>
      </c>
      <c r="B294" t="s">
        <v>3</v>
      </c>
      <c r="C294">
        <v>0.774172736333679</v>
      </c>
      <c r="D294">
        <v>2.84676780450057</v>
      </c>
      <c r="E294">
        <v>0.79254861006303101</v>
      </c>
      <c r="F294">
        <v>19.398987854971601</v>
      </c>
      <c r="G294">
        <v>23.398987854971601</v>
      </c>
      <c r="I294" t="s">
        <v>204</v>
      </c>
      <c r="J294" t="s">
        <v>3</v>
      </c>
      <c r="K294">
        <v>1.4878163849520001</v>
      </c>
      <c r="L294">
        <v>2.2552965038191699</v>
      </c>
      <c r="M294">
        <v>0.52797799183433303</v>
      </c>
      <c r="N294">
        <v>14.0607380493589</v>
      </c>
      <c r="O294">
        <v>0.35545126050461501</v>
      </c>
      <c r="P294">
        <v>18.0607380493589</v>
      </c>
      <c r="R294" t="s">
        <v>204</v>
      </c>
      <c r="S294" t="s">
        <v>3</v>
      </c>
      <c r="T294">
        <v>2.90676915594051</v>
      </c>
      <c r="U294">
        <v>2.4433918594244002</v>
      </c>
      <c r="V294">
        <v>0.26829226641480303</v>
      </c>
      <c r="W294">
        <v>15.0474722581096</v>
      </c>
      <c r="X294">
        <v>4.23336542499095</v>
      </c>
      <c r="Y294">
        <v>19.0474722581096</v>
      </c>
      <c r="AA294" t="str">
        <f t="shared" si="8"/>
        <v xml:space="preserve">P &amp; OU </v>
      </c>
      <c r="AC294">
        <f t="shared" si="9"/>
        <v>0.26829226641480303</v>
      </c>
    </row>
    <row r="295" spans="1:29" x14ac:dyDescent="0.2">
      <c r="A295" t="s">
        <v>204</v>
      </c>
      <c r="B295" t="s">
        <v>211</v>
      </c>
      <c r="C295">
        <v>1.30658629110323</v>
      </c>
      <c r="D295">
        <v>0.168286275148369</v>
      </c>
      <c r="E295" s="23">
        <v>5.4133614918666101E-5</v>
      </c>
      <c r="F295">
        <v>-1.95085869031338</v>
      </c>
      <c r="G295">
        <v>2.04914130968662</v>
      </c>
      <c r="I295" t="s">
        <v>204</v>
      </c>
      <c r="J295" t="s">
        <v>211</v>
      </c>
      <c r="K295">
        <v>1.30658629110323</v>
      </c>
      <c r="L295">
        <v>0.168286275148369</v>
      </c>
      <c r="M295" s="23">
        <v>5.4133614918666101E-5</v>
      </c>
      <c r="N295">
        <v>4.9141309686621802E-2</v>
      </c>
      <c r="O295">
        <v>1</v>
      </c>
      <c r="P295">
        <v>4.04914130968662</v>
      </c>
      <c r="R295" t="s">
        <v>204</v>
      </c>
      <c r="S295" t="s">
        <v>211</v>
      </c>
      <c r="T295">
        <v>1.30658629181879</v>
      </c>
      <c r="U295">
        <v>0.16828628453081901</v>
      </c>
      <c r="V295" s="23">
        <v>5.4133636300010598E-5</v>
      </c>
      <c r="W295">
        <v>4.9141504104170501E-2</v>
      </c>
      <c r="X295" s="23">
        <v>2.0717264370102001E-8</v>
      </c>
      <c r="Y295">
        <v>4.0491415041041696</v>
      </c>
      <c r="AA295" t="str">
        <f t="shared" si="8"/>
        <v xml:space="preserve"> </v>
      </c>
      <c r="AC295">
        <f t="shared" si="9"/>
        <v>5.4133614918666101E-5</v>
      </c>
    </row>
    <row r="296" spans="1:29" x14ac:dyDescent="0.2">
      <c r="A296" t="s">
        <v>204</v>
      </c>
      <c r="B296" t="s">
        <v>212</v>
      </c>
      <c r="C296">
        <v>-1.1763483820349501</v>
      </c>
      <c r="D296">
        <v>1.13712414482638</v>
      </c>
      <c r="E296">
        <v>0.33116128170978298</v>
      </c>
      <c r="F296">
        <v>18.235503946689601</v>
      </c>
      <c r="G296">
        <v>22.235503946689601</v>
      </c>
      <c r="I296" t="s">
        <v>204</v>
      </c>
      <c r="J296" t="s">
        <v>212</v>
      </c>
      <c r="K296">
        <v>-0.83904835793632104</v>
      </c>
      <c r="L296">
        <v>0.90050913533907995</v>
      </c>
      <c r="M296">
        <v>0.378727263272506</v>
      </c>
      <c r="N296">
        <v>13.503268641391401</v>
      </c>
      <c r="O296">
        <v>0.45002275305029499</v>
      </c>
      <c r="P296">
        <v>17.503268641391401</v>
      </c>
      <c r="R296" t="s">
        <v>204</v>
      </c>
      <c r="S296" t="s">
        <v>212</v>
      </c>
      <c r="T296">
        <v>-1.0097470197942899</v>
      </c>
      <c r="U296">
        <v>1.1057306801442299</v>
      </c>
      <c r="V296">
        <v>0.38783273065338902</v>
      </c>
      <c r="W296">
        <v>15.653788534825299</v>
      </c>
      <c r="X296">
        <v>0.53497187816747505</v>
      </c>
      <c r="Y296">
        <v>19.653788534825299</v>
      </c>
      <c r="AA296" t="str">
        <f t="shared" si="8"/>
        <v xml:space="preserve">P &amp; OU </v>
      </c>
      <c r="AC296">
        <f t="shared" si="9"/>
        <v>0.33116128170978298</v>
      </c>
    </row>
    <row r="297" spans="1:29" x14ac:dyDescent="0.2">
      <c r="A297" t="s">
        <v>204</v>
      </c>
      <c r="B297" t="s">
        <v>213</v>
      </c>
      <c r="C297">
        <v>2.8814999100610601</v>
      </c>
      <c r="D297">
        <v>0.34934826765291499</v>
      </c>
      <c r="E297" s="23">
        <v>3.5023373173063699E-5</v>
      </c>
      <c r="F297">
        <v>-3.0262598120788402</v>
      </c>
      <c r="G297">
        <v>0.97374018792115502</v>
      </c>
      <c r="I297" t="s">
        <v>204</v>
      </c>
      <c r="J297" t="s">
        <v>213</v>
      </c>
      <c r="K297">
        <v>2.5863575364596199</v>
      </c>
      <c r="L297">
        <v>0.40018131213839703</v>
      </c>
      <c r="M297">
        <v>1.9560684350190699E-4</v>
      </c>
      <c r="N297">
        <v>-1.60330483824355</v>
      </c>
      <c r="O297" s="23">
        <v>9.9999999999999903E-8</v>
      </c>
      <c r="P297">
        <v>2.3966951617564498</v>
      </c>
      <c r="R297" t="s">
        <v>204</v>
      </c>
      <c r="S297" t="s">
        <v>213</v>
      </c>
      <c r="T297">
        <v>2.7282372694391102</v>
      </c>
      <c r="U297">
        <v>0.39324584720675698</v>
      </c>
      <c r="V297">
        <v>1.19885317147772E-4</v>
      </c>
      <c r="W297">
        <v>-2.5137594889905102</v>
      </c>
      <c r="X297">
        <v>0.235030945898653</v>
      </c>
      <c r="Y297">
        <v>1.4862405110094901</v>
      </c>
      <c r="AA297" t="str">
        <f t="shared" si="8"/>
        <v xml:space="preserve"> </v>
      </c>
      <c r="AC297">
        <f t="shared" si="9"/>
        <v>3.5023373173063699E-5</v>
      </c>
    </row>
    <row r="298" spans="1:29" x14ac:dyDescent="0.2">
      <c r="A298" t="s">
        <v>204</v>
      </c>
      <c r="B298" t="s">
        <v>214</v>
      </c>
      <c r="C298">
        <v>6.8974735180617102E-3</v>
      </c>
      <c r="D298">
        <v>1.1963541025751701E-3</v>
      </c>
      <c r="E298">
        <v>4.2148997776629598E-4</v>
      </c>
      <c r="F298">
        <v>3.0913443800590699</v>
      </c>
      <c r="G298">
        <v>7.0913443800590699</v>
      </c>
      <c r="I298" t="s">
        <v>204</v>
      </c>
      <c r="J298" t="s">
        <v>214</v>
      </c>
      <c r="K298">
        <v>5.8083638844828303E-3</v>
      </c>
      <c r="L298">
        <v>1.4164029822808699E-3</v>
      </c>
      <c r="M298">
        <v>3.4340366393809602E-3</v>
      </c>
      <c r="N298">
        <v>4.9469233454985</v>
      </c>
      <c r="O298">
        <v>0.79676277663920503</v>
      </c>
      <c r="P298">
        <v>8.9469233454985009</v>
      </c>
      <c r="R298" t="s">
        <v>204</v>
      </c>
      <c r="S298" t="s">
        <v>214</v>
      </c>
      <c r="T298">
        <v>6.6545065933245398E-3</v>
      </c>
      <c r="U298">
        <v>1.31158575371031E-3</v>
      </c>
      <c r="V298">
        <v>9.6067304136463795E-4</v>
      </c>
      <c r="W298">
        <v>4.7825643092317298</v>
      </c>
      <c r="X298">
        <v>7.2742290930742595E-2</v>
      </c>
      <c r="Y298">
        <v>8.7825643092317307</v>
      </c>
      <c r="AA298" t="str">
        <f t="shared" si="8"/>
        <v xml:space="preserve"> </v>
      </c>
      <c r="AC298">
        <f t="shared" si="9"/>
        <v>4.2148997776629598E-4</v>
      </c>
    </row>
    <row r="299" spans="1:29" x14ac:dyDescent="0.2">
      <c r="A299" t="s">
        <v>204</v>
      </c>
      <c r="B299" t="s">
        <v>215</v>
      </c>
      <c r="C299">
        <v>-0.272035519946213</v>
      </c>
      <c r="D299">
        <v>0.48876713761523499</v>
      </c>
      <c r="E299">
        <v>0.59304127740743995</v>
      </c>
      <c r="F299">
        <v>19.111097142235302</v>
      </c>
      <c r="G299">
        <v>23.111097142235302</v>
      </c>
      <c r="I299" t="s">
        <v>204</v>
      </c>
      <c r="J299" t="s">
        <v>215</v>
      </c>
      <c r="K299">
        <v>0.19943877536419699</v>
      </c>
      <c r="L299">
        <v>0.35544221327886699</v>
      </c>
      <c r="M299">
        <v>0.59009528824323998</v>
      </c>
      <c r="N299">
        <v>14.3533420838185</v>
      </c>
      <c r="O299">
        <v>0.28851742912902001</v>
      </c>
      <c r="P299">
        <v>18.3533420838185</v>
      </c>
      <c r="R299" t="s">
        <v>204</v>
      </c>
      <c r="S299" t="s">
        <v>215</v>
      </c>
      <c r="T299">
        <v>0.45494539446294802</v>
      </c>
      <c r="U299">
        <v>0.32528105208987301</v>
      </c>
      <c r="V299">
        <v>0.19947712877202001</v>
      </c>
      <c r="W299">
        <v>14.488885866869801</v>
      </c>
      <c r="X299">
        <v>4.23336542499095</v>
      </c>
      <c r="Y299">
        <v>18.4888858668699</v>
      </c>
      <c r="AA299" t="str">
        <f t="shared" si="8"/>
        <v xml:space="preserve">P &amp; OU </v>
      </c>
      <c r="AC299">
        <f t="shared" si="9"/>
        <v>0.19947712877202001</v>
      </c>
    </row>
    <row r="300" spans="1:29" x14ac:dyDescent="0.2">
      <c r="A300" t="s">
        <v>204</v>
      </c>
      <c r="B300" t="s">
        <v>25</v>
      </c>
      <c r="C300">
        <v>2.7948394847510999E-3</v>
      </c>
      <c r="D300">
        <v>8.1625277374385203E-4</v>
      </c>
      <c r="E300">
        <v>9.0346186397677903E-3</v>
      </c>
      <c r="F300">
        <v>10.467217685113599</v>
      </c>
      <c r="G300">
        <v>14.467217685113599</v>
      </c>
      <c r="I300" t="s">
        <v>204</v>
      </c>
      <c r="J300" t="s">
        <v>25</v>
      </c>
      <c r="K300">
        <v>1.9889200115521298E-3</v>
      </c>
      <c r="L300">
        <v>9.64947072188788E-4</v>
      </c>
      <c r="M300">
        <v>7.3226787895768197E-2</v>
      </c>
      <c r="N300">
        <v>12.2006784858327</v>
      </c>
      <c r="O300">
        <v>0.81202800794518903</v>
      </c>
      <c r="P300">
        <v>16.2006784858327</v>
      </c>
      <c r="R300" t="s">
        <v>204</v>
      </c>
      <c r="S300" t="s">
        <v>25</v>
      </c>
      <c r="T300">
        <v>2.6968600714447899E-3</v>
      </c>
      <c r="U300">
        <v>8.4955673825477698E-4</v>
      </c>
      <c r="V300">
        <v>1.31068789461968E-2</v>
      </c>
      <c r="W300">
        <v>12.428981173305701</v>
      </c>
      <c r="X300">
        <v>2.53359925605075E-2</v>
      </c>
      <c r="Y300">
        <v>16.428981173305701</v>
      </c>
      <c r="AA300" t="str">
        <f t="shared" si="8"/>
        <v xml:space="preserve"> </v>
      </c>
      <c r="AC300">
        <f t="shared" si="9"/>
        <v>9.0346186397677903E-3</v>
      </c>
    </row>
    <row r="301" spans="1:29" x14ac:dyDescent="0.2">
      <c r="A301" t="s">
        <v>204</v>
      </c>
      <c r="B301" t="s">
        <v>24</v>
      </c>
      <c r="C301">
        <v>3.6825545064437901E-2</v>
      </c>
      <c r="D301">
        <v>0.65660411067420299</v>
      </c>
      <c r="E301">
        <v>0.95664965026569604</v>
      </c>
      <c r="F301">
        <v>19.487076679778099</v>
      </c>
      <c r="G301">
        <v>23.487076679778099</v>
      </c>
      <c r="I301" t="s">
        <v>204</v>
      </c>
      <c r="J301" t="s">
        <v>24</v>
      </c>
      <c r="K301">
        <v>-0.14376803844253</v>
      </c>
      <c r="L301">
        <v>0.48771633797577002</v>
      </c>
      <c r="M301">
        <v>0.77566822421745296</v>
      </c>
      <c r="N301">
        <v>14.434930207375</v>
      </c>
      <c r="O301">
        <v>0.39772270543220201</v>
      </c>
      <c r="P301">
        <v>18.434930207375</v>
      </c>
      <c r="R301" t="s">
        <v>204</v>
      </c>
      <c r="S301" t="s">
        <v>24</v>
      </c>
      <c r="T301">
        <v>-0.47973953160944999</v>
      </c>
      <c r="U301">
        <v>0.52143851152780896</v>
      </c>
      <c r="V301">
        <v>0.38445932651435499</v>
      </c>
      <c r="W301">
        <v>15.670615024356101</v>
      </c>
      <c r="X301">
        <v>4.23336542499095</v>
      </c>
      <c r="Y301">
        <v>19.670615024356099</v>
      </c>
      <c r="AA301" t="str">
        <f t="shared" si="8"/>
        <v xml:space="preserve">P &amp; OU </v>
      </c>
      <c r="AC301">
        <f t="shared" si="9"/>
        <v>0.38445932651435499</v>
      </c>
    </row>
    <row r="302" spans="1:29" x14ac:dyDescent="0.2">
      <c r="A302" t="s">
        <v>204</v>
      </c>
      <c r="B302" t="s">
        <v>23</v>
      </c>
      <c r="C302">
        <v>5.6898801033137797E-2</v>
      </c>
      <c r="D302">
        <v>0.111997237550489</v>
      </c>
      <c r="E302">
        <v>0.62513560072959895</v>
      </c>
      <c r="F302">
        <v>19.1734752499483</v>
      </c>
      <c r="G302">
        <v>23.1734752499483</v>
      </c>
      <c r="I302" t="s">
        <v>204</v>
      </c>
      <c r="J302" t="s">
        <v>23</v>
      </c>
      <c r="K302">
        <v>1.9655077145122001E-2</v>
      </c>
      <c r="L302">
        <v>8.4659727281769598E-2</v>
      </c>
      <c r="M302">
        <v>0.82223827851433495</v>
      </c>
      <c r="N302">
        <v>14.4642895023545</v>
      </c>
      <c r="O302">
        <v>0.42356869091490101</v>
      </c>
      <c r="P302">
        <v>18.4642895023545</v>
      </c>
      <c r="R302" t="s">
        <v>204</v>
      </c>
      <c r="S302" t="s">
        <v>23</v>
      </c>
      <c r="T302">
        <v>6.5499502148702995E-2</v>
      </c>
      <c r="U302">
        <v>9.5668208721050293E-2</v>
      </c>
      <c r="V302">
        <v>0.51290615042083099</v>
      </c>
      <c r="W302">
        <v>16.076719764353101</v>
      </c>
      <c r="X302">
        <v>0.50454544989722305</v>
      </c>
      <c r="Y302">
        <v>20.076719764353101</v>
      </c>
      <c r="AA302" t="str">
        <f t="shared" si="8"/>
        <v xml:space="preserve">P &amp; OU </v>
      </c>
      <c r="AC302">
        <f t="shared" si="9"/>
        <v>0.51290615042083099</v>
      </c>
    </row>
    <row r="303" spans="1:29" x14ac:dyDescent="0.2">
      <c r="A303" t="s">
        <v>204</v>
      </c>
      <c r="B303" t="s">
        <v>220</v>
      </c>
      <c r="C303">
        <v>3.5217768109565997E-4</v>
      </c>
      <c r="D303">
        <v>5.2816859083355697E-4</v>
      </c>
      <c r="E303">
        <v>0.52366748503906801</v>
      </c>
      <c r="F303">
        <v>18.950140391986899</v>
      </c>
      <c r="G303">
        <v>22.950140391986899</v>
      </c>
      <c r="I303" t="s">
        <v>204</v>
      </c>
      <c r="J303" t="s">
        <v>220</v>
      </c>
      <c r="K303" s="23">
        <v>-3.4683683128870101E-5</v>
      </c>
      <c r="L303">
        <v>4.2188625583808499E-4</v>
      </c>
      <c r="M303">
        <v>0.93649864959339801</v>
      </c>
      <c r="N303">
        <v>14.5238172653966</v>
      </c>
      <c r="O303">
        <v>0.41990379582062998</v>
      </c>
      <c r="P303">
        <v>18.523817265396598</v>
      </c>
      <c r="R303" t="s">
        <v>204</v>
      </c>
      <c r="S303" t="s">
        <v>220</v>
      </c>
      <c r="T303">
        <v>-3.9155125301237301E-4</v>
      </c>
      <c r="U303">
        <v>4.4887347996615202E-4</v>
      </c>
      <c r="V303">
        <v>0.40846240193483802</v>
      </c>
      <c r="W303">
        <v>15.7677953077909</v>
      </c>
      <c r="X303">
        <v>4.23336542499095</v>
      </c>
      <c r="Y303">
        <v>19.767795307790902</v>
      </c>
      <c r="AA303" t="str">
        <f t="shared" si="8"/>
        <v xml:space="preserve">P &amp; OU </v>
      </c>
      <c r="AC303">
        <f t="shared" si="9"/>
        <v>0.40846240193483802</v>
      </c>
    </row>
    <row r="304" spans="1:29" x14ac:dyDescent="0.2">
      <c r="A304" t="s">
        <v>206</v>
      </c>
      <c r="B304" t="s">
        <v>205</v>
      </c>
      <c r="C304">
        <v>-7.81973717315039</v>
      </c>
      <c r="D304">
        <v>5.7864975165656496</v>
      </c>
      <c r="E304">
        <v>0.21354428331478001</v>
      </c>
      <c r="F304">
        <v>59.959208724530797</v>
      </c>
      <c r="G304">
        <v>63.959208724530797</v>
      </c>
      <c r="I304" t="s">
        <v>206</v>
      </c>
      <c r="J304" t="s">
        <v>205</v>
      </c>
      <c r="K304">
        <v>-8.2818538245472801</v>
      </c>
      <c r="L304">
        <v>3.8721223184789899</v>
      </c>
      <c r="M304">
        <v>6.4893431501821294E-2</v>
      </c>
      <c r="N304">
        <v>58.936831881946198</v>
      </c>
      <c r="O304" s="23">
        <v>9.9999999999999903E-8</v>
      </c>
      <c r="P304">
        <v>62.936831881946198</v>
      </c>
      <c r="R304" t="s">
        <v>206</v>
      </c>
      <c r="S304" t="s">
        <v>205</v>
      </c>
      <c r="T304">
        <v>-8.2517923736832905</v>
      </c>
      <c r="U304">
        <v>4.1521341664729299</v>
      </c>
      <c r="V304">
        <v>8.2107719314316804E-2</v>
      </c>
      <c r="W304">
        <v>58.867970400951698</v>
      </c>
      <c r="X304">
        <v>0.53716763396512301</v>
      </c>
      <c r="Y304">
        <v>62.867970400951698</v>
      </c>
      <c r="AA304" t="str">
        <f t="shared" si="8"/>
        <v xml:space="preserve"> </v>
      </c>
      <c r="AC304">
        <f t="shared" si="9"/>
        <v>6.4893431501821294E-2</v>
      </c>
    </row>
    <row r="305" spans="1:29" x14ac:dyDescent="0.2">
      <c r="A305" t="s">
        <v>206</v>
      </c>
      <c r="B305" t="s">
        <v>207</v>
      </c>
      <c r="C305">
        <v>-1.3558075335973E-2</v>
      </c>
      <c r="D305">
        <v>2.5788230087983401E-2</v>
      </c>
      <c r="E305">
        <v>0.61332171208186503</v>
      </c>
      <c r="F305">
        <v>61.675658141115598</v>
      </c>
      <c r="G305">
        <v>65.675658141115605</v>
      </c>
      <c r="I305" t="s">
        <v>206</v>
      </c>
      <c r="J305" t="s">
        <v>207</v>
      </c>
      <c r="K305">
        <v>-2.2575796072876301E-2</v>
      </c>
      <c r="L305">
        <v>3.0369854533912499E-2</v>
      </c>
      <c r="M305">
        <v>0.47852237826662802</v>
      </c>
      <c r="N305">
        <v>62.5404085362782</v>
      </c>
      <c r="O305">
        <v>0.29934119813443699</v>
      </c>
      <c r="P305">
        <v>66.540408536278207</v>
      </c>
      <c r="R305" t="s">
        <v>206</v>
      </c>
      <c r="S305" t="s">
        <v>207</v>
      </c>
      <c r="T305">
        <v>-1.8514111780302399E-2</v>
      </c>
      <c r="U305">
        <v>2.8762409625776801E-2</v>
      </c>
      <c r="V305">
        <v>0.53778719387894802</v>
      </c>
      <c r="W305">
        <v>61.709409530240599</v>
      </c>
      <c r="X305">
        <v>0.228234130295282</v>
      </c>
      <c r="Y305">
        <v>65.709409530240606</v>
      </c>
      <c r="AA305" t="str">
        <f t="shared" si="8"/>
        <v xml:space="preserve"> </v>
      </c>
      <c r="AC305">
        <f t="shared" si="9"/>
        <v>0.47852237826662802</v>
      </c>
    </row>
    <row r="306" spans="1:29" x14ac:dyDescent="0.2">
      <c r="A306" t="s">
        <v>206</v>
      </c>
      <c r="B306" t="s">
        <v>208</v>
      </c>
      <c r="C306">
        <v>2.0281105045518302E-2</v>
      </c>
      <c r="D306">
        <v>1.70752056954493</v>
      </c>
      <c r="E306">
        <v>0.990814194383147</v>
      </c>
      <c r="F306">
        <v>62.015158808827401</v>
      </c>
      <c r="G306">
        <v>66.015158808827394</v>
      </c>
      <c r="I306" t="s">
        <v>206</v>
      </c>
      <c r="J306" t="s">
        <v>208</v>
      </c>
      <c r="K306">
        <v>-2.1923305676048499</v>
      </c>
      <c r="L306">
        <v>1.8405469463547599</v>
      </c>
      <c r="M306">
        <v>0.26774098274449898</v>
      </c>
      <c r="N306">
        <v>61.82658642002</v>
      </c>
      <c r="O306" s="23">
        <v>9.9999999999999903E-8</v>
      </c>
      <c r="P306">
        <v>65.826586420020007</v>
      </c>
      <c r="R306" t="s">
        <v>206</v>
      </c>
      <c r="S306" t="s">
        <v>208</v>
      </c>
      <c r="T306">
        <v>-2.19230244031997</v>
      </c>
      <c r="U306">
        <v>1.84055997766121</v>
      </c>
      <c r="V306">
        <v>0.26774978031388003</v>
      </c>
      <c r="W306">
        <v>61.826607640240603</v>
      </c>
      <c r="X306">
        <v>4.23336542499095</v>
      </c>
      <c r="Y306">
        <v>65.826607640240596</v>
      </c>
      <c r="AA306" t="str">
        <f t="shared" si="8"/>
        <v xml:space="preserve"> </v>
      </c>
      <c r="AC306">
        <f t="shared" si="9"/>
        <v>0.26774098274449898</v>
      </c>
    </row>
    <row r="307" spans="1:29" x14ac:dyDescent="0.2">
      <c r="A307" t="s">
        <v>206</v>
      </c>
      <c r="B307" t="s">
        <v>209</v>
      </c>
      <c r="C307">
        <v>-1.6840587286934699E-2</v>
      </c>
      <c r="D307">
        <v>9.2899985988586006E-3</v>
      </c>
      <c r="E307">
        <v>0.107435143382394</v>
      </c>
      <c r="F307">
        <v>58.574015724309902</v>
      </c>
      <c r="G307">
        <v>62.574015724309902</v>
      </c>
      <c r="I307" t="s">
        <v>206</v>
      </c>
      <c r="J307" t="s">
        <v>209</v>
      </c>
      <c r="K307">
        <v>-1.6840587286934699E-2</v>
      </c>
      <c r="L307">
        <v>9.2899985988586006E-3</v>
      </c>
      <c r="M307">
        <v>0.107435143382394</v>
      </c>
      <c r="N307">
        <v>60.574015724309902</v>
      </c>
      <c r="O307">
        <v>1</v>
      </c>
      <c r="P307">
        <v>64.574015724309902</v>
      </c>
      <c r="R307" t="s">
        <v>206</v>
      </c>
      <c r="S307" t="s">
        <v>209</v>
      </c>
      <c r="T307">
        <v>-1.5624137713583E-2</v>
      </c>
      <c r="U307">
        <v>1.0180835731370399E-2</v>
      </c>
      <c r="V307">
        <v>0.16341351493043799</v>
      </c>
      <c r="W307">
        <v>60.050835255293102</v>
      </c>
      <c r="X307">
        <v>0.105559708371635</v>
      </c>
      <c r="Y307">
        <v>64.050835255293194</v>
      </c>
      <c r="AA307" t="str">
        <f t="shared" si="8"/>
        <v xml:space="preserve"> </v>
      </c>
      <c r="AC307">
        <f t="shared" si="9"/>
        <v>0.107435143382394</v>
      </c>
    </row>
    <row r="308" spans="1:29" x14ac:dyDescent="0.2">
      <c r="A308" t="s">
        <v>206</v>
      </c>
      <c r="B308" t="s">
        <v>210</v>
      </c>
      <c r="C308">
        <v>-0.87646626293691898</v>
      </c>
      <c r="D308">
        <v>2.3242777328992199</v>
      </c>
      <c r="E308">
        <v>0.71591175434102805</v>
      </c>
      <c r="F308">
        <v>61.839148534593797</v>
      </c>
      <c r="G308">
        <v>65.839148534593804</v>
      </c>
      <c r="I308" t="s">
        <v>206</v>
      </c>
      <c r="J308" t="s">
        <v>210</v>
      </c>
      <c r="K308">
        <v>-1.1265597831838901</v>
      </c>
      <c r="L308">
        <v>3.2207796814194398</v>
      </c>
      <c r="M308">
        <v>0.735534560081477</v>
      </c>
      <c r="N308">
        <v>63.0438511752888</v>
      </c>
      <c r="O308">
        <v>0.243088932015915</v>
      </c>
      <c r="P308">
        <v>67.043851175288793</v>
      </c>
      <c r="R308" t="s">
        <v>206</v>
      </c>
      <c r="S308" t="s">
        <v>210</v>
      </c>
      <c r="T308">
        <v>-0.96282045240124603</v>
      </c>
      <c r="U308">
        <v>2.7970066800084101</v>
      </c>
      <c r="V308">
        <v>0.73954504869150495</v>
      </c>
      <c r="W308">
        <v>62.067089230510597</v>
      </c>
      <c r="X308">
        <v>0.21952751970221099</v>
      </c>
      <c r="Y308">
        <v>66.067089230510604</v>
      </c>
      <c r="AA308" t="str">
        <f t="shared" si="8"/>
        <v xml:space="preserve"> </v>
      </c>
      <c r="AC308">
        <f t="shared" si="9"/>
        <v>0.71591175434102805</v>
      </c>
    </row>
    <row r="309" spans="1:29" x14ac:dyDescent="0.2">
      <c r="A309" t="s">
        <v>206</v>
      </c>
      <c r="B309" t="s">
        <v>4</v>
      </c>
      <c r="C309">
        <v>3.1332312530764899</v>
      </c>
      <c r="D309">
        <v>2.0247222871428998</v>
      </c>
      <c r="E309">
        <v>0.16033422636258901</v>
      </c>
      <c r="F309">
        <v>59.396774795128799</v>
      </c>
      <c r="G309">
        <v>63.396774795128799</v>
      </c>
      <c r="I309" t="s">
        <v>206</v>
      </c>
      <c r="J309" t="s">
        <v>4</v>
      </c>
      <c r="K309">
        <v>4.8594556169532401</v>
      </c>
      <c r="L309">
        <v>2.2463636781332101</v>
      </c>
      <c r="M309">
        <v>6.24718189815738E-2</v>
      </c>
      <c r="N309">
        <v>58.853655112609097</v>
      </c>
      <c r="O309" s="23">
        <v>9.9999999999999903E-8</v>
      </c>
      <c r="P309">
        <v>62.853655112609097</v>
      </c>
      <c r="R309" t="s">
        <v>206</v>
      </c>
      <c r="S309" t="s">
        <v>4</v>
      </c>
      <c r="T309">
        <v>4.3583332080511399</v>
      </c>
      <c r="U309">
        <v>2.2091386342834398</v>
      </c>
      <c r="V309">
        <v>8.3970619110017894E-2</v>
      </c>
      <c r="W309">
        <v>58.607081312314499</v>
      </c>
      <c r="X309">
        <v>0.403759844965629</v>
      </c>
      <c r="Y309">
        <v>62.607081312314499</v>
      </c>
      <c r="AA309" t="str">
        <f t="shared" si="8"/>
        <v xml:space="preserve"> </v>
      </c>
      <c r="AC309">
        <f t="shared" si="9"/>
        <v>6.24718189815738E-2</v>
      </c>
    </row>
    <row r="310" spans="1:29" x14ac:dyDescent="0.2">
      <c r="A310" t="s">
        <v>206</v>
      </c>
      <c r="B310" t="s">
        <v>3</v>
      </c>
      <c r="C310">
        <v>-29.725709347309301</v>
      </c>
      <c r="D310">
        <v>21.548477772583901</v>
      </c>
      <c r="E310">
        <v>0.20507639359267499</v>
      </c>
      <c r="F310">
        <v>59.881406455720601</v>
      </c>
      <c r="G310">
        <v>63.881406455720601</v>
      </c>
      <c r="I310" t="s">
        <v>206</v>
      </c>
      <c r="J310" t="s">
        <v>3</v>
      </c>
      <c r="K310">
        <v>-47.028033187189997</v>
      </c>
      <c r="L310">
        <v>21.896935109167099</v>
      </c>
      <c r="M310">
        <v>6.4004251052400402E-2</v>
      </c>
      <c r="N310">
        <v>58.906680246428898</v>
      </c>
      <c r="O310" s="23">
        <v>9.9999999999999903E-8</v>
      </c>
      <c r="P310">
        <v>62.906680246428898</v>
      </c>
      <c r="R310" t="s">
        <v>206</v>
      </c>
      <c r="S310" t="s">
        <v>3</v>
      </c>
      <c r="T310">
        <v>-43.930405321034002</v>
      </c>
      <c r="U310">
        <v>21.9637456760166</v>
      </c>
      <c r="V310">
        <v>8.0499690635570595E-2</v>
      </c>
      <c r="W310">
        <v>58.756757075656203</v>
      </c>
      <c r="X310">
        <v>0.50350380200511102</v>
      </c>
      <c r="Y310">
        <v>62.756757075656203</v>
      </c>
      <c r="AA310" t="str">
        <f t="shared" si="8"/>
        <v xml:space="preserve"> </v>
      </c>
      <c r="AC310">
        <f t="shared" si="9"/>
        <v>6.4004251052400402E-2</v>
      </c>
    </row>
    <row r="311" spans="1:29" x14ac:dyDescent="0.2">
      <c r="A311" t="s">
        <v>206</v>
      </c>
      <c r="B311" t="s">
        <v>211</v>
      </c>
      <c r="C311">
        <v>-1.5740983923447101</v>
      </c>
      <c r="D311">
        <v>4.0837688065704096</v>
      </c>
      <c r="E311">
        <v>0.70994908675242296</v>
      </c>
      <c r="F311">
        <v>61.831321713179598</v>
      </c>
      <c r="G311">
        <v>65.831321713179605</v>
      </c>
      <c r="I311" t="s">
        <v>206</v>
      </c>
      <c r="J311" t="s">
        <v>211</v>
      </c>
      <c r="K311">
        <v>-2.4207643300728998</v>
      </c>
      <c r="L311">
        <v>7.1983632866565896</v>
      </c>
      <c r="M311">
        <v>0.74530040377703299</v>
      </c>
      <c r="N311">
        <v>63.059634881521497</v>
      </c>
      <c r="O311">
        <v>0.19474643697942101</v>
      </c>
      <c r="P311">
        <v>67.059634881521504</v>
      </c>
      <c r="R311" t="s">
        <v>206</v>
      </c>
      <c r="S311" t="s">
        <v>211</v>
      </c>
      <c r="T311">
        <v>-1.82434543997677</v>
      </c>
      <c r="U311">
        <v>5.4071404553343001</v>
      </c>
      <c r="V311">
        <v>0.74450053471676403</v>
      </c>
      <c r="W311">
        <v>62.072540335072198</v>
      </c>
      <c r="X311">
        <v>0.22316928681939099</v>
      </c>
      <c r="Y311">
        <v>66.072540335072205</v>
      </c>
      <c r="AA311" t="str">
        <f t="shared" si="8"/>
        <v xml:space="preserve"> </v>
      </c>
      <c r="AC311">
        <f t="shared" si="9"/>
        <v>0.70994908675242296</v>
      </c>
    </row>
    <row r="312" spans="1:29" x14ac:dyDescent="0.2">
      <c r="A312" t="s">
        <v>206</v>
      </c>
      <c r="B312" t="s">
        <v>212</v>
      </c>
      <c r="C312">
        <v>20.621006091954801</v>
      </c>
      <c r="D312">
        <v>7.0621127106220403</v>
      </c>
      <c r="E312">
        <v>1.9292794868538701E-2</v>
      </c>
      <c r="F312">
        <v>54.760341195169403</v>
      </c>
      <c r="G312">
        <v>58.760341195169403</v>
      </c>
      <c r="I312" t="s">
        <v>206</v>
      </c>
      <c r="J312" t="s">
        <v>212</v>
      </c>
      <c r="K312">
        <v>22.2845707824677</v>
      </c>
      <c r="L312">
        <v>7.5214109364990502</v>
      </c>
      <c r="M312">
        <v>1.8068259843055601E-2</v>
      </c>
      <c r="N312">
        <v>55.887256132556601</v>
      </c>
      <c r="O312">
        <v>0.43199250112422799</v>
      </c>
      <c r="P312">
        <v>59.887256132556601</v>
      </c>
      <c r="R312" t="s">
        <v>206</v>
      </c>
      <c r="S312" t="s">
        <v>212</v>
      </c>
      <c r="T312">
        <v>21.744009381771701</v>
      </c>
      <c r="U312">
        <v>7.5514511401472104</v>
      </c>
      <c r="V312">
        <v>2.0528932686881801E-2</v>
      </c>
      <c r="W312">
        <v>55.121981217442503</v>
      </c>
      <c r="X312">
        <v>0.19405074093086</v>
      </c>
      <c r="Y312">
        <v>59.121981217442503</v>
      </c>
      <c r="AA312" t="str">
        <f t="shared" si="8"/>
        <v xml:space="preserve"> </v>
      </c>
      <c r="AC312">
        <f t="shared" si="9"/>
        <v>1.8068259843055601E-2</v>
      </c>
    </row>
    <row r="313" spans="1:29" x14ac:dyDescent="0.2">
      <c r="A313" t="s">
        <v>206</v>
      </c>
      <c r="B313" t="s">
        <v>213</v>
      </c>
      <c r="C313">
        <v>-6.8076564801204498</v>
      </c>
      <c r="D313">
        <v>8.7018400667073994</v>
      </c>
      <c r="E313">
        <v>0.456553530865974</v>
      </c>
      <c r="F313">
        <v>61.278149347636599</v>
      </c>
      <c r="G313">
        <v>65.278149347636599</v>
      </c>
      <c r="I313" t="s">
        <v>206</v>
      </c>
      <c r="J313" t="s">
        <v>213</v>
      </c>
      <c r="K313">
        <v>-13.6329726106278</v>
      </c>
      <c r="L313">
        <v>9.1627073644615802</v>
      </c>
      <c r="M313">
        <v>0.175101869921961</v>
      </c>
      <c r="N313">
        <v>61.016280222760003</v>
      </c>
      <c r="O313" s="23">
        <v>9.9999999999999903E-8</v>
      </c>
      <c r="P313">
        <v>65.016280222760003</v>
      </c>
      <c r="R313" t="s">
        <v>206</v>
      </c>
      <c r="S313" t="s">
        <v>213</v>
      </c>
      <c r="T313">
        <v>-13.6329051309718</v>
      </c>
      <c r="U313">
        <v>9.1627602768581493</v>
      </c>
      <c r="V313">
        <v>0.17510598061763899</v>
      </c>
      <c r="W313">
        <v>61.016287950397398</v>
      </c>
      <c r="X313">
        <v>4.23336542499095</v>
      </c>
      <c r="Y313">
        <v>65.016287950397398</v>
      </c>
      <c r="AA313" t="str">
        <f t="shared" si="8"/>
        <v xml:space="preserve"> </v>
      </c>
      <c r="AC313">
        <f t="shared" si="9"/>
        <v>0.175101869921961</v>
      </c>
    </row>
    <row r="314" spans="1:29" x14ac:dyDescent="0.2">
      <c r="A314" t="s">
        <v>206</v>
      </c>
      <c r="B314" t="s">
        <v>214</v>
      </c>
      <c r="C314">
        <v>-1.20311254376836E-2</v>
      </c>
      <c r="D314">
        <v>2.23699578725335E-2</v>
      </c>
      <c r="E314">
        <v>0.60533216164436099</v>
      </c>
      <c r="F314">
        <v>61.660148543913301</v>
      </c>
      <c r="G314">
        <v>65.660148543913294</v>
      </c>
      <c r="I314" t="s">
        <v>206</v>
      </c>
      <c r="J314" t="s">
        <v>214</v>
      </c>
      <c r="K314">
        <v>-2.0859175132124999E-2</v>
      </c>
      <c r="L314">
        <v>2.8158705747665401E-2</v>
      </c>
      <c r="M314">
        <v>0.48000709527246899</v>
      </c>
      <c r="N314">
        <v>62.716028548729497</v>
      </c>
      <c r="O314">
        <v>3.1430374757963897E-2</v>
      </c>
      <c r="P314">
        <v>66.716028548729497</v>
      </c>
      <c r="R314" t="s">
        <v>206</v>
      </c>
      <c r="S314" t="s">
        <v>214</v>
      </c>
      <c r="T314">
        <v>-1.4521349949574099E-2</v>
      </c>
      <c r="U314">
        <v>2.6016037419803802E-2</v>
      </c>
      <c r="V314">
        <v>0.59200253235186495</v>
      </c>
      <c r="W314">
        <v>61.836405052518899</v>
      </c>
      <c r="X314">
        <v>0.238285712020917</v>
      </c>
      <c r="Y314">
        <v>65.836405052518899</v>
      </c>
      <c r="AA314" t="str">
        <f t="shared" si="8"/>
        <v xml:space="preserve"> </v>
      </c>
      <c r="AC314">
        <f t="shared" si="9"/>
        <v>0.48000709527246899</v>
      </c>
    </row>
    <row r="315" spans="1:29" x14ac:dyDescent="0.2">
      <c r="A315" t="s">
        <v>206</v>
      </c>
      <c r="B315" t="s">
        <v>215</v>
      </c>
      <c r="C315">
        <v>-1.6181004861073101</v>
      </c>
      <c r="D315">
        <v>4.1365818385706099</v>
      </c>
      <c r="E315">
        <v>0.70588454940356704</v>
      </c>
      <c r="F315">
        <v>61.825875303675097</v>
      </c>
      <c r="G315">
        <v>65.825875303675105</v>
      </c>
      <c r="I315" t="s">
        <v>206</v>
      </c>
      <c r="J315" t="s">
        <v>215</v>
      </c>
      <c r="K315">
        <v>-4.1873436274896099</v>
      </c>
      <c r="L315">
        <v>3.4605016334883301</v>
      </c>
      <c r="M315">
        <v>0.26080147128581299</v>
      </c>
      <c r="N315">
        <v>61.778495375826402</v>
      </c>
      <c r="O315" s="23">
        <v>9.9999999999999903E-8</v>
      </c>
      <c r="P315">
        <v>65.778495375826395</v>
      </c>
      <c r="R315" t="s">
        <v>206</v>
      </c>
      <c r="S315" t="s">
        <v>215</v>
      </c>
      <c r="T315">
        <v>-3.2966187168624699</v>
      </c>
      <c r="U315">
        <v>3.5835354007732301</v>
      </c>
      <c r="V315">
        <v>0.38450661425152499</v>
      </c>
      <c r="W315">
        <v>61.430323041969203</v>
      </c>
      <c r="X315">
        <v>0.352299683283544</v>
      </c>
      <c r="Y315">
        <v>65.430323041969203</v>
      </c>
      <c r="AA315" t="str">
        <f t="shared" si="8"/>
        <v xml:space="preserve"> </v>
      </c>
      <c r="AC315">
        <f t="shared" si="9"/>
        <v>0.26080147128581299</v>
      </c>
    </row>
    <row r="316" spans="1:29" x14ac:dyDescent="0.2">
      <c r="A316" t="s">
        <v>206</v>
      </c>
      <c r="B316" t="s">
        <v>25</v>
      </c>
      <c r="C316">
        <v>-3.78397562383651E-3</v>
      </c>
      <c r="D316">
        <v>1.06606758704356E-2</v>
      </c>
      <c r="E316">
        <v>0.73180492030983502</v>
      </c>
      <c r="F316">
        <v>61.859078074117697</v>
      </c>
      <c r="G316">
        <v>65.859078074117704</v>
      </c>
      <c r="I316" t="s">
        <v>206</v>
      </c>
      <c r="J316" t="s">
        <v>25</v>
      </c>
      <c r="K316">
        <v>9.76203650592611E-3</v>
      </c>
      <c r="L316">
        <v>1.44899244142559E-2</v>
      </c>
      <c r="M316">
        <v>0.51948103820903302</v>
      </c>
      <c r="N316">
        <v>62.727251559918699</v>
      </c>
      <c r="O316">
        <v>8.87138767824006E-2</v>
      </c>
      <c r="P316">
        <v>66.727251559918699</v>
      </c>
      <c r="R316" t="s">
        <v>206</v>
      </c>
      <c r="S316" t="s">
        <v>25</v>
      </c>
      <c r="T316">
        <v>3.0129576607183001E-3</v>
      </c>
      <c r="U316">
        <v>1.2833446990827901E-2</v>
      </c>
      <c r="V316">
        <v>0.82028178363080095</v>
      </c>
      <c r="W316">
        <v>62.163457597203703</v>
      </c>
      <c r="X316">
        <v>0.25406497234854297</v>
      </c>
      <c r="Y316">
        <v>66.163457597203703</v>
      </c>
      <c r="AA316" t="str">
        <f t="shared" si="8"/>
        <v xml:space="preserve"> </v>
      </c>
      <c r="AC316">
        <f t="shared" si="9"/>
        <v>0.51948103820903302</v>
      </c>
    </row>
    <row r="317" spans="1:29" x14ac:dyDescent="0.2">
      <c r="A317" t="s">
        <v>206</v>
      </c>
      <c r="B317" t="s">
        <v>24</v>
      </c>
      <c r="C317">
        <v>2.8459246973654801</v>
      </c>
      <c r="D317">
        <v>5.4127250989764599</v>
      </c>
      <c r="E317">
        <v>0.61329685977809201</v>
      </c>
      <c r="F317">
        <v>61.675610571337302</v>
      </c>
      <c r="G317">
        <v>65.675610571337302</v>
      </c>
      <c r="I317" t="s">
        <v>206</v>
      </c>
      <c r="J317" t="s">
        <v>24</v>
      </c>
      <c r="K317">
        <v>3.1196098395180298</v>
      </c>
      <c r="L317">
        <v>5.5623453313598299</v>
      </c>
      <c r="M317">
        <v>0.59026178074093605</v>
      </c>
      <c r="N317">
        <v>62.9499439810388</v>
      </c>
      <c r="O317">
        <v>5.2982601613910198E-2</v>
      </c>
      <c r="P317">
        <v>66.9499439810388</v>
      </c>
      <c r="R317" t="s">
        <v>206</v>
      </c>
      <c r="S317" t="s">
        <v>24</v>
      </c>
      <c r="T317">
        <v>2.6043420349452999</v>
      </c>
      <c r="U317">
        <v>5.3197025354502303</v>
      </c>
      <c r="V317">
        <v>0.637582544290205</v>
      </c>
      <c r="W317">
        <v>61.922615124726498</v>
      </c>
      <c r="X317">
        <v>0.23716316591565301</v>
      </c>
      <c r="Y317">
        <v>65.922615124726505</v>
      </c>
      <c r="AA317" t="str">
        <f t="shared" si="8"/>
        <v xml:space="preserve"> </v>
      </c>
      <c r="AC317">
        <f t="shared" si="9"/>
        <v>0.59026178074093605</v>
      </c>
    </row>
    <row r="318" spans="1:29" x14ac:dyDescent="0.2">
      <c r="A318" t="s">
        <v>206</v>
      </c>
      <c r="B318" t="s">
        <v>23</v>
      </c>
      <c r="C318">
        <v>-0.43822446841700102</v>
      </c>
      <c r="D318">
        <v>0.94124137891193305</v>
      </c>
      <c r="E318">
        <v>0.65392730664370102</v>
      </c>
      <c r="F318">
        <v>61.7479835223184</v>
      </c>
      <c r="G318">
        <v>65.747983522318407</v>
      </c>
      <c r="I318" t="s">
        <v>206</v>
      </c>
      <c r="J318" t="s">
        <v>23</v>
      </c>
      <c r="K318">
        <v>-4.8542685263427601E-2</v>
      </c>
      <c r="L318">
        <v>0.98555672412299</v>
      </c>
      <c r="M318">
        <v>0.961924313112544</v>
      </c>
      <c r="N318">
        <v>63.192386574456997</v>
      </c>
      <c r="O318">
        <v>0.22511100854418001</v>
      </c>
      <c r="P318">
        <v>67.192386574457004</v>
      </c>
      <c r="R318" t="s">
        <v>206</v>
      </c>
      <c r="S318" t="s">
        <v>23</v>
      </c>
      <c r="T318">
        <v>-0.26684496628395499</v>
      </c>
      <c r="U318">
        <v>0.95047447248971295</v>
      </c>
      <c r="V318">
        <v>0.78602664941170997</v>
      </c>
      <c r="W318">
        <v>62.115858359597198</v>
      </c>
      <c r="X318">
        <v>0.22139971222476301</v>
      </c>
      <c r="Y318">
        <v>66.115858359597198</v>
      </c>
      <c r="AA318" t="str">
        <f t="shared" si="8"/>
        <v xml:space="preserve"> </v>
      </c>
      <c r="AC318">
        <f t="shared" si="9"/>
        <v>0.65392730664370102</v>
      </c>
    </row>
    <row r="319" spans="1:29" x14ac:dyDescent="0.2">
      <c r="A319" t="s">
        <v>206</v>
      </c>
      <c r="B319" t="s">
        <v>220</v>
      </c>
      <c r="C319">
        <v>2.5549100095799901E-3</v>
      </c>
      <c r="D319">
        <v>4.4584723106038298E-3</v>
      </c>
      <c r="E319">
        <v>0.58235794697888899</v>
      </c>
      <c r="F319">
        <v>61.613058822394898</v>
      </c>
      <c r="G319">
        <v>65.613058822394905</v>
      </c>
      <c r="I319" t="s">
        <v>206</v>
      </c>
      <c r="J319" t="s">
        <v>220</v>
      </c>
      <c r="K319">
        <v>4.3185837073711998E-3</v>
      </c>
      <c r="L319">
        <v>4.6268374761610801E-3</v>
      </c>
      <c r="M319">
        <v>0.37793582421239302</v>
      </c>
      <c r="N319">
        <v>62.425560837512101</v>
      </c>
      <c r="O319" s="23">
        <v>9.9999999999999903E-8</v>
      </c>
      <c r="P319">
        <v>66.425560837512094</v>
      </c>
      <c r="R319" t="s">
        <v>206</v>
      </c>
      <c r="S319" t="s">
        <v>220</v>
      </c>
      <c r="T319">
        <v>3.10669117252564E-3</v>
      </c>
      <c r="U319">
        <v>4.4788549859021004E-3</v>
      </c>
      <c r="V319">
        <v>0.50754708693564599</v>
      </c>
      <c r="W319">
        <v>61.658811868519599</v>
      </c>
      <c r="X319">
        <v>0.26267642124030399</v>
      </c>
      <c r="Y319">
        <v>65.658811868519606</v>
      </c>
      <c r="AA319" t="str">
        <f t="shared" si="8"/>
        <v xml:space="preserve"> </v>
      </c>
      <c r="AC319">
        <f t="shared" si="9"/>
        <v>0.37793582421239302</v>
      </c>
    </row>
    <row r="320" spans="1:29" x14ac:dyDescent="0.2">
      <c r="A320" t="s">
        <v>205</v>
      </c>
      <c r="B320" t="s">
        <v>207</v>
      </c>
      <c r="C320">
        <v>-1.3697567764250199E-3</v>
      </c>
      <c r="D320">
        <v>1.3625644301066399E-3</v>
      </c>
      <c r="E320">
        <v>0.34419697647894898</v>
      </c>
      <c r="F320">
        <v>2.8646650389458101</v>
      </c>
      <c r="G320">
        <v>6.8646650389458097</v>
      </c>
      <c r="I320" t="s">
        <v>205</v>
      </c>
      <c r="J320" t="s">
        <v>207</v>
      </c>
      <c r="K320">
        <v>-1.1096648232877199E-3</v>
      </c>
      <c r="L320">
        <v>1.4264570584829801E-3</v>
      </c>
      <c r="M320">
        <v>0.45900407312584701</v>
      </c>
      <c r="N320">
        <v>4.1133475721300998</v>
      </c>
      <c r="O320">
        <v>0.85648122855680298</v>
      </c>
      <c r="P320">
        <v>8.1133475721301007</v>
      </c>
      <c r="R320" t="s">
        <v>205</v>
      </c>
      <c r="S320" t="s">
        <v>207</v>
      </c>
      <c r="T320">
        <v>-1.3570282588898899E-3</v>
      </c>
      <c r="U320">
        <v>1.4368761748987399E-3</v>
      </c>
      <c r="V320">
        <v>0.37259544924522597</v>
      </c>
      <c r="W320">
        <v>4.5663718061079202</v>
      </c>
      <c r="X320">
        <v>5.3065183937784602E-2</v>
      </c>
      <c r="Y320">
        <v>8.5663718061079202</v>
      </c>
      <c r="AA320" t="str">
        <f t="shared" si="8"/>
        <v xml:space="preserve"> </v>
      </c>
      <c r="AC320">
        <f t="shared" si="9"/>
        <v>0.34419697647894898</v>
      </c>
    </row>
    <row r="321" spans="1:29" x14ac:dyDescent="0.2">
      <c r="A321" t="s">
        <v>205</v>
      </c>
      <c r="B321" t="s">
        <v>208</v>
      </c>
      <c r="C321">
        <v>-6.6438488973879301E-2</v>
      </c>
      <c r="D321">
        <v>9.11593851020015E-2</v>
      </c>
      <c r="E321">
        <v>0.48689861453133698</v>
      </c>
      <c r="F321">
        <v>3.41139523154088</v>
      </c>
      <c r="G321">
        <v>7.4113952315408804</v>
      </c>
      <c r="I321" t="s">
        <v>205</v>
      </c>
      <c r="J321" t="s">
        <v>208</v>
      </c>
      <c r="K321">
        <v>0.143296398492918</v>
      </c>
      <c r="L321">
        <v>0.10643085089245299</v>
      </c>
      <c r="M321">
        <v>0.21508087911118901</v>
      </c>
      <c r="N321">
        <v>4.1011543649452697</v>
      </c>
      <c r="O321">
        <v>0.48402500540343102</v>
      </c>
      <c r="P321">
        <v>8.1011543649452697</v>
      </c>
      <c r="R321" t="s">
        <v>205</v>
      </c>
      <c r="S321" t="s">
        <v>208</v>
      </c>
      <c r="T321">
        <v>-5.94441417933202E-2</v>
      </c>
      <c r="U321">
        <v>9.2868830432827704E-2</v>
      </c>
      <c r="V321">
        <v>0.54001080438112103</v>
      </c>
      <c r="W321">
        <v>5.4036979728930303</v>
      </c>
      <c r="X321">
        <v>1.1709476018040101E-2</v>
      </c>
      <c r="Y321">
        <v>9.4036979728930294</v>
      </c>
      <c r="AA321" t="str">
        <f t="shared" si="8"/>
        <v xml:space="preserve"> </v>
      </c>
      <c r="AC321">
        <f t="shared" si="9"/>
        <v>0.21508087911118901</v>
      </c>
    </row>
    <row r="322" spans="1:29" x14ac:dyDescent="0.2">
      <c r="A322" t="s">
        <v>205</v>
      </c>
      <c r="B322" t="s">
        <v>209</v>
      </c>
      <c r="C322">
        <v>3.3024905236141302E-4</v>
      </c>
      <c r="D322">
        <v>5.9701202582366304E-4</v>
      </c>
      <c r="E322">
        <v>0.59526317732850997</v>
      </c>
      <c r="F322">
        <v>3.6788872435622202</v>
      </c>
      <c r="G322">
        <v>7.6788872435622197</v>
      </c>
      <c r="I322" t="s">
        <v>205</v>
      </c>
      <c r="J322" t="s">
        <v>209</v>
      </c>
      <c r="K322">
        <v>2.3318464807692299E-4</v>
      </c>
      <c r="L322">
        <v>5.9568370142223405E-4</v>
      </c>
      <c r="M322">
        <v>0.70567955554978001</v>
      </c>
      <c r="N322">
        <v>4.64969038827034</v>
      </c>
      <c r="O322">
        <v>0.853274419177389</v>
      </c>
      <c r="P322">
        <v>8.64969038827034</v>
      </c>
      <c r="R322" t="s">
        <v>205</v>
      </c>
      <c r="S322" t="s">
        <v>209</v>
      </c>
      <c r="T322">
        <v>2.80234734271754E-4</v>
      </c>
      <c r="U322">
        <v>6.2697502131267699E-4</v>
      </c>
      <c r="V322">
        <v>0.66675443794923905</v>
      </c>
      <c r="W322">
        <v>5.3784866169502399</v>
      </c>
      <c r="X322">
        <v>5.2317158952753802E-2</v>
      </c>
      <c r="Y322">
        <v>9.3784866169502408</v>
      </c>
      <c r="AA322" t="str">
        <f t="shared" si="8"/>
        <v xml:space="preserve"> </v>
      </c>
      <c r="AC322">
        <f t="shared" si="9"/>
        <v>0.59526317732850997</v>
      </c>
    </row>
    <row r="323" spans="1:29" x14ac:dyDescent="0.2">
      <c r="A323" t="s">
        <v>205</v>
      </c>
      <c r="B323" t="s">
        <v>210</v>
      </c>
      <c r="C323">
        <v>0.16002483177164001</v>
      </c>
      <c r="D323">
        <v>0.116233766857771</v>
      </c>
      <c r="E323">
        <v>0.20588621944737201</v>
      </c>
      <c r="F323">
        <v>1.9279240854187101</v>
      </c>
      <c r="G323">
        <v>5.9279240854187103</v>
      </c>
      <c r="I323" t="s">
        <v>205</v>
      </c>
      <c r="J323" t="s">
        <v>210</v>
      </c>
      <c r="K323">
        <v>0.13513776225581001</v>
      </c>
      <c r="L323">
        <v>0.12591536618992599</v>
      </c>
      <c r="M323">
        <v>0.31446563967258301</v>
      </c>
      <c r="N323">
        <v>3.6723192728752698</v>
      </c>
      <c r="O323">
        <v>0.91551302709490501</v>
      </c>
      <c r="P323">
        <v>7.6723192728752698</v>
      </c>
      <c r="R323" t="s">
        <v>205</v>
      </c>
      <c r="S323" t="s">
        <v>210</v>
      </c>
      <c r="T323">
        <v>0.15675636476356899</v>
      </c>
      <c r="U323">
        <v>0.120003052212645</v>
      </c>
      <c r="V323">
        <v>0.227764418689897</v>
      </c>
      <c r="W323">
        <v>3.8838840068813898</v>
      </c>
      <c r="X323">
        <v>1.9849392232249002E-2</v>
      </c>
      <c r="Y323">
        <v>7.8838840068813898</v>
      </c>
      <c r="AA323" t="str">
        <f t="shared" si="8"/>
        <v xml:space="preserve"> </v>
      </c>
      <c r="AC323">
        <f t="shared" si="9"/>
        <v>0.20588621944737201</v>
      </c>
    </row>
    <row r="324" spans="1:29" x14ac:dyDescent="0.2">
      <c r="A324" t="s">
        <v>205</v>
      </c>
      <c r="B324" t="s">
        <v>4</v>
      </c>
      <c r="C324">
        <v>-0.129789104332798</v>
      </c>
      <c r="D324">
        <v>0.118675730237616</v>
      </c>
      <c r="E324">
        <v>0.305944404299546</v>
      </c>
      <c r="F324">
        <v>2.6609145889283101</v>
      </c>
      <c r="G324">
        <v>6.6609145889283097</v>
      </c>
      <c r="I324" t="s">
        <v>205</v>
      </c>
      <c r="J324" t="s">
        <v>4</v>
      </c>
      <c r="K324">
        <v>-0.131516144434983</v>
      </c>
      <c r="L324">
        <v>0.117720177517719</v>
      </c>
      <c r="M324">
        <v>0.29633793052359098</v>
      </c>
      <c r="N324">
        <v>3.38124845527381</v>
      </c>
      <c r="O324">
        <v>0.83140753069333095</v>
      </c>
      <c r="P324">
        <v>7.38124845527381</v>
      </c>
      <c r="R324" t="s">
        <v>205</v>
      </c>
      <c r="S324" t="s">
        <v>4</v>
      </c>
      <c r="T324">
        <v>-0.137950333030504</v>
      </c>
      <c r="U324">
        <v>0.12548969835823601</v>
      </c>
      <c r="V324">
        <v>0.30361670790490802</v>
      </c>
      <c r="W324">
        <v>4.2048754433306401</v>
      </c>
      <c r="X324">
        <v>6.6502328562287105E-2</v>
      </c>
      <c r="Y324">
        <v>8.2048754433306392</v>
      </c>
      <c r="AA324" t="str">
        <f t="shared" si="8"/>
        <v xml:space="preserve"> </v>
      </c>
      <c r="AC324">
        <f t="shared" si="9"/>
        <v>0.29633793052359098</v>
      </c>
    </row>
    <row r="325" spans="1:29" x14ac:dyDescent="0.2">
      <c r="A325" t="s">
        <v>205</v>
      </c>
      <c r="B325" t="s">
        <v>3</v>
      </c>
      <c r="C325">
        <v>1.32578105942153</v>
      </c>
      <c r="D325">
        <v>1.2358311742558801</v>
      </c>
      <c r="E325">
        <v>0.31465900608413699</v>
      </c>
      <c r="F325">
        <v>2.7101781006513699</v>
      </c>
      <c r="G325">
        <v>6.7101781006513699</v>
      </c>
      <c r="I325" t="s">
        <v>205</v>
      </c>
      <c r="J325" t="s">
        <v>3</v>
      </c>
      <c r="K325">
        <v>1.3793612105791699</v>
      </c>
      <c r="L325">
        <v>1.2106747032394001</v>
      </c>
      <c r="M325">
        <v>0.28752746113101901</v>
      </c>
      <c r="N325">
        <v>3.3316179006889199</v>
      </c>
      <c r="O325">
        <v>0.81875707600415604</v>
      </c>
      <c r="P325">
        <v>7.3316179006889204</v>
      </c>
      <c r="R325" t="s">
        <v>205</v>
      </c>
      <c r="S325" t="s">
        <v>3</v>
      </c>
      <c r="T325">
        <v>1.4883524632977001</v>
      </c>
      <c r="U325">
        <v>1.3023842642174099</v>
      </c>
      <c r="V325">
        <v>0.286170627758283</v>
      </c>
      <c r="W325">
        <v>4.1205112173849798</v>
      </c>
      <c r="X325">
        <v>7.9392847566609998E-2</v>
      </c>
      <c r="Y325">
        <v>8.1205112173849798</v>
      </c>
      <c r="AA325" t="str">
        <f t="shared" si="8"/>
        <v xml:space="preserve"> </v>
      </c>
      <c r="AC325">
        <f t="shared" si="9"/>
        <v>0.286170627758283</v>
      </c>
    </row>
    <row r="326" spans="1:29" x14ac:dyDescent="0.2">
      <c r="A326" t="s">
        <v>205</v>
      </c>
      <c r="B326" t="s">
        <v>211</v>
      </c>
      <c r="C326">
        <v>0.49420957155404599</v>
      </c>
      <c r="D326">
        <v>0.145254522003852</v>
      </c>
      <c r="E326">
        <v>9.3277328617185906E-3</v>
      </c>
      <c r="F326">
        <v>-4.8944390932486597</v>
      </c>
      <c r="G326">
        <v>-0.894439093248661</v>
      </c>
      <c r="I326" t="s">
        <v>205</v>
      </c>
      <c r="J326" t="s">
        <v>211</v>
      </c>
      <c r="K326">
        <v>0.49420957155404599</v>
      </c>
      <c r="L326">
        <v>0.145254522003852</v>
      </c>
      <c r="M326">
        <v>9.3277328617185906E-3</v>
      </c>
      <c r="N326">
        <v>-2.8944390932486601</v>
      </c>
      <c r="O326">
        <v>1</v>
      </c>
      <c r="P326">
        <v>1.1055609067513399</v>
      </c>
      <c r="R326" t="s">
        <v>205</v>
      </c>
      <c r="S326" t="s">
        <v>211</v>
      </c>
      <c r="T326">
        <v>0.49420957766259999</v>
      </c>
      <c r="U326">
        <v>0.14525453356773699</v>
      </c>
      <c r="V326">
        <v>9.3277360168555392E-3</v>
      </c>
      <c r="W326">
        <v>-2.89443867245964</v>
      </c>
      <c r="X326" s="23">
        <v>2.60927867404642E-8</v>
      </c>
      <c r="Y326">
        <v>1.10556132754036</v>
      </c>
      <c r="AA326" t="str">
        <f t="shared" ref="AA326:AA389" si="10">IF(AND(G326-P326&lt;-2, G326-Y326&lt;-2), "BM", IF(OR(P326-G326&lt;-2, Y326-G326&lt;-2), IF(AND(P326-G326&lt;-2, Y326-G326&gt;-2), "P ", IF(AND(P326-G326&lt;-2, Y326-G326&lt;-2), "P &amp; OU ", "OU ")), " "))</f>
        <v xml:space="preserve"> </v>
      </c>
      <c r="AC326">
        <f t="shared" ref="AC326:AC389" si="11">MIN(E326,M326,V326)</f>
        <v>9.3277328617185906E-3</v>
      </c>
    </row>
    <row r="327" spans="1:29" x14ac:dyDescent="0.2">
      <c r="A327" t="s">
        <v>205</v>
      </c>
      <c r="B327" t="s">
        <v>212</v>
      </c>
      <c r="C327">
        <v>-0.135407050777304</v>
      </c>
      <c r="D327">
        <v>0.55753312465499505</v>
      </c>
      <c r="E327">
        <v>0.81421862499641395</v>
      </c>
      <c r="F327">
        <v>3.9807888246431</v>
      </c>
      <c r="G327">
        <v>7.9807888246431</v>
      </c>
      <c r="I327" t="s">
        <v>205</v>
      </c>
      <c r="J327" t="s">
        <v>212</v>
      </c>
      <c r="K327">
        <v>-3.2434289231769498E-2</v>
      </c>
      <c r="L327">
        <v>0.54363733787869695</v>
      </c>
      <c r="M327">
        <v>0.95388858593320502</v>
      </c>
      <c r="N327">
        <v>4.8265692154189397</v>
      </c>
      <c r="O327">
        <v>0.83557856068612502</v>
      </c>
      <c r="P327">
        <v>8.8265692154189406</v>
      </c>
      <c r="R327" t="s">
        <v>205</v>
      </c>
      <c r="S327" t="s">
        <v>212</v>
      </c>
      <c r="T327">
        <v>-9.9934886524494004E-2</v>
      </c>
      <c r="U327">
        <v>0.58162089235204295</v>
      </c>
      <c r="V327">
        <v>0.86784484110895499</v>
      </c>
      <c r="W327">
        <v>5.5747656998408104</v>
      </c>
      <c r="X327">
        <v>6.2083674956770703E-2</v>
      </c>
      <c r="Y327">
        <v>9.5747656998408104</v>
      </c>
      <c r="AA327" t="str">
        <f t="shared" si="10"/>
        <v xml:space="preserve"> </v>
      </c>
      <c r="AC327">
        <f t="shared" si="11"/>
        <v>0.81421862499641395</v>
      </c>
    </row>
    <row r="328" spans="1:29" x14ac:dyDescent="0.2">
      <c r="A328" t="s">
        <v>205</v>
      </c>
      <c r="B328" t="s">
        <v>213</v>
      </c>
      <c r="C328">
        <v>1.2967691186553401</v>
      </c>
      <c r="D328">
        <v>0.19378398624742199</v>
      </c>
      <c r="E328">
        <v>1.5399875873397601E-4</v>
      </c>
      <c r="F328">
        <v>-14.812765021550501</v>
      </c>
      <c r="G328">
        <v>-10.812765021550501</v>
      </c>
      <c r="I328" t="s">
        <v>205</v>
      </c>
      <c r="J328" t="s">
        <v>213</v>
      </c>
      <c r="K328">
        <v>1.2967691186553401</v>
      </c>
      <c r="L328">
        <v>0.19378398624742199</v>
      </c>
      <c r="M328">
        <v>1.5399875873397601E-4</v>
      </c>
      <c r="N328">
        <v>-12.812765021550501</v>
      </c>
      <c r="O328">
        <v>1</v>
      </c>
      <c r="P328">
        <v>-8.8127650215504598</v>
      </c>
      <c r="R328" t="s">
        <v>205</v>
      </c>
      <c r="S328" t="s">
        <v>213</v>
      </c>
      <c r="T328">
        <v>1.2967691739360101</v>
      </c>
      <c r="U328">
        <v>0.19378400632932399</v>
      </c>
      <c r="V328">
        <v>1.53998823605691E-4</v>
      </c>
      <c r="W328">
        <v>-12.812764758034101</v>
      </c>
      <c r="X328" s="23">
        <v>5.4013122607746498E-8</v>
      </c>
      <c r="Y328">
        <v>-8.8127647580341506</v>
      </c>
      <c r="AA328" t="str">
        <f t="shared" si="10"/>
        <v>BM</v>
      </c>
      <c r="AC328">
        <f t="shared" si="11"/>
        <v>1.5399875873397601E-4</v>
      </c>
    </row>
    <row r="329" spans="1:29" x14ac:dyDescent="0.2">
      <c r="A329" t="s">
        <v>205</v>
      </c>
      <c r="B329" t="s">
        <v>214</v>
      </c>
      <c r="C329">
        <v>3.0179781719504098E-3</v>
      </c>
      <c r="D329">
        <v>6.6136949372763601E-4</v>
      </c>
      <c r="E329">
        <v>1.8420912608173301E-3</v>
      </c>
      <c r="F329">
        <v>-8.7630813675321697</v>
      </c>
      <c r="G329">
        <v>-4.7630813675321697</v>
      </c>
      <c r="I329" t="s">
        <v>205</v>
      </c>
      <c r="J329" t="s">
        <v>214</v>
      </c>
      <c r="K329">
        <v>3.0179781719504098E-3</v>
      </c>
      <c r="L329">
        <v>6.6136949372763601E-4</v>
      </c>
      <c r="M329">
        <v>1.8420912608173301E-3</v>
      </c>
      <c r="N329">
        <v>-6.7630813675321697</v>
      </c>
      <c r="O329">
        <v>1</v>
      </c>
      <c r="P329">
        <v>-2.7630813675321702</v>
      </c>
      <c r="R329" t="s">
        <v>205</v>
      </c>
      <c r="S329" t="s">
        <v>214</v>
      </c>
      <c r="T329">
        <v>3.0179781885915202E-3</v>
      </c>
      <c r="U329">
        <v>6.6136951171229903E-4</v>
      </c>
      <c r="V329">
        <v>1.8420915000345701E-3</v>
      </c>
      <c r="W329">
        <v>-6.76308121703312</v>
      </c>
      <c r="X329" s="23">
        <v>1.20333813124054E-8</v>
      </c>
      <c r="Y329">
        <v>-2.76308121703312</v>
      </c>
      <c r="AA329" t="str">
        <f t="shared" si="10"/>
        <v xml:space="preserve"> </v>
      </c>
      <c r="AC329">
        <f t="shared" si="11"/>
        <v>1.8420912608173301E-3</v>
      </c>
    </row>
    <row r="330" spans="1:29" x14ac:dyDescent="0.2">
      <c r="A330" t="s">
        <v>205</v>
      </c>
      <c r="B330" t="s">
        <v>215</v>
      </c>
      <c r="C330">
        <v>1.2958835104297101E-2</v>
      </c>
      <c r="D330">
        <v>0.23017634452219499</v>
      </c>
      <c r="E330">
        <v>0.95648386349721104</v>
      </c>
      <c r="F330">
        <v>4.0502882542716296</v>
      </c>
      <c r="G330">
        <v>8.0502882542716296</v>
      </c>
      <c r="I330" t="s">
        <v>205</v>
      </c>
      <c r="J330" t="s">
        <v>215</v>
      </c>
      <c r="K330">
        <v>8.4960805000229705E-2</v>
      </c>
      <c r="L330">
        <v>0.22246483971846301</v>
      </c>
      <c r="M330">
        <v>0.71247530660910496</v>
      </c>
      <c r="N330">
        <v>4.6709446167770796</v>
      </c>
      <c r="O330">
        <v>0.80034543085052601</v>
      </c>
      <c r="P330">
        <v>8.6709446167770796</v>
      </c>
      <c r="R330" t="s">
        <v>205</v>
      </c>
      <c r="S330" t="s">
        <v>215</v>
      </c>
      <c r="T330">
        <v>0.14682068362810499</v>
      </c>
      <c r="U330">
        <v>0.230583542108967</v>
      </c>
      <c r="V330">
        <v>0.54208366216786696</v>
      </c>
      <c r="W330">
        <v>5.3496764722874897</v>
      </c>
      <c r="X330">
        <v>0.116907936732201</v>
      </c>
      <c r="Y330">
        <v>9.3496764722874897</v>
      </c>
      <c r="AA330" t="str">
        <f t="shared" si="10"/>
        <v xml:space="preserve"> </v>
      </c>
      <c r="AC330">
        <f t="shared" si="11"/>
        <v>0.54208366216786696</v>
      </c>
    </row>
    <row r="331" spans="1:29" x14ac:dyDescent="0.2">
      <c r="A331" t="s">
        <v>205</v>
      </c>
      <c r="B331" t="s">
        <v>25</v>
      </c>
      <c r="C331">
        <v>1.14160741778457E-3</v>
      </c>
      <c r="D331">
        <v>4.33537360755848E-4</v>
      </c>
      <c r="E331">
        <v>3.00268161714113E-2</v>
      </c>
      <c r="F331">
        <v>-2.1877043599163599</v>
      </c>
      <c r="G331">
        <v>1.8122956400836401</v>
      </c>
      <c r="I331" t="s">
        <v>205</v>
      </c>
      <c r="J331" t="s">
        <v>25</v>
      </c>
      <c r="K331">
        <v>1.14160741778457E-3</v>
      </c>
      <c r="L331">
        <v>4.33537360755848E-4</v>
      </c>
      <c r="M331">
        <v>3.00268161714113E-2</v>
      </c>
      <c r="N331">
        <v>-0.187704359916363</v>
      </c>
      <c r="O331">
        <v>1</v>
      </c>
      <c r="P331">
        <v>3.8122956400836401</v>
      </c>
      <c r="R331" t="s">
        <v>205</v>
      </c>
      <c r="S331" t="s">
        <v>25</v>
      </c>
      <c r="T331">
        <v>1.1416074017485899E-3</v>
      </c>
      <c r="U331">
        <v>4.3353737852189802E-4</v>
      </c>
      <c r="V331">
        <v>3.0026822925730098E-2</v>
      </c>
      <c r="W331">
        <v>-0.18770406448885499</v>
      </c>
      <c r="X331" s="23">
        <v>1.5388482969847699E-8</v>
      </c>
      <c r="Y331">
        <v>3.8122959355111399</v>
      </c>
      <c r="AA331" t="str">
        <f t="shared" si="10"/>
        <v xml:space="preserve"> </v>
      </c>
      <c r="AC331">
        <f t="shared" si="11"/>
        <v>3.00268161714113E-2</v>
      </c>
    </row>
    <row r="332" spans="1:29" x14ac:dyDescent="0.2">
      <c r="A332" t="s">
        <v>205</v>
      </c>
      <c r="B332" t="s">
        <v>24</v>
      </c>
      <c r="C332">
        <v>-0.118389329161186</v>
      </c>
      <c r="D332">
        <v>0.30061767458229999</v>
      </c>
      <c r="E332">
        <v>0.70400236705400798</v>
      </c>
      <c r="F332">
        <v>3.86223683329596</v>
      </c>
      <c r="G332">
        <v>7.8622368332959596</v>
      </c>
      <c r="I332" t="s">
        <v>205</v>
      </c>
      <c r="J332" t="s">
        <v>24</v>
      </c>
      <c r="K332">
        <v>-0.13144543030551201</v>
      </c>
      <c r="L332">
        <v>0.28711613128039998</v>
      </c>
      <c r="M332">
        <v>0.65926500347272599</v>
      </c>
      <c r="N332">
        <v>4.57373804145909</v>
      </c>
      <c r="O332">
        <v>0.82520089932072405</v>
      </c>
      <c r="P332">
        <v>8.5737380414590891</v>
      </c>
      <c r="R332" t="s">
        <v>205</v>
      </c>
      <c r="S332" t="s">
        <v>24</v>
      </c>
      <c r="T332">
        <v>-0.17652599030469099</v>
      </c>
      <c r="U332">
        <v>0.305437248159178</v>
      </c>
      <c r="V332">
        <v>0.57920116934602195</v>
      </c>
      <c r="W332">
        <v>5.2384274369696104</v>
      </c>
      <c r="X332">
        <v>8.4065322366455003E-2</v>
      </c>
      <c r="Y332">
        <v>9.2384274369696104</v>
      </c>
      <c r="AA332" t="str">
        <f t="shared" si="10"/>
        <v xml:space="preserve"> </v>
      </c>
      <c r="AC332">
        <f t="shared" si="11"/>
        <v>0.57920116934602195</v>
      </c>
    </row>
    <row r="333" spans="1:29" x14ac:dyDescent="0.2">
      <c r="A333" t="s">
        <v>205</v>
      </c>
      <c r="B333" t="s">
        <v>23</v>
      </c>
      <c r="C333">
        <v>3.0768264548379599E-2</v>
      </c>
      <c r="D333">
        <v>5.1451919845809997E-2</v>
      </c>
      <c r="E333">
        <v>0.56637952197002395</v>
      </c>
      <c r="F333">
        <v>3.6169466521103999</v>
      </c>
      <c r="G333">
        <v>7.6169466521103999</v>
      </c>
      <c r="I333" t="s">
        <v>205</v>
      </c>
      <c r="J333" t="s">
        <v>23</v>
      </c>
      <c r="K333">
        <v>1.7250181300977802E-2</v>
      </c>
      <c r="L333">
        <v>4.9975008682397001E-2</v>
      </c>
      <c r="M333">
        <v>0.73886203863042299</v>
      </c>
      <c r="N333">
        <v>4.6907131336316699</v>
      </c>
      <c r="O333">
        <v>0.85225980119338796</v>
      </c>
      <c r="P333">
        <v>8.6907131336316699</v>
      </c>
      <c r="R333" t="s">
        <v>205</v>
      </c>
      <c r="S333" t="s">
        <v>23</v>
      </c>
      <c r="T333">
        <v>3.1734516283071799E-2</v>
      </c>
      <c r="U333">
        <v>5.2784658461582201E-2</v>
      </c>
      <c r="V333">
        <v>0.56434448486029798</v>
      </c>
      <c r="W333">
        <v>5.1707497193755296</v>
      </c>
      <c r="X333">
        <v>6.8138826093315896E-2</v>
      </c>
      <c r="Y333">
        <v>9.1707497193755305</v>
      </c>
      <c r="AA333" t="str">
        <f t="shared" si="10"/>
        <v xml:space="preserve"> </v>
      </c>
      <c r="AC333">
        <f t="shared" si="11"/>
        <v>0.56434448486029798</v>
      </c>
    </row>
    <row r="334" spans="1:29" x14ac:dyDescent="0.2">
      <c r="A334" t="s">
        <v>205</v>
      </c>
      <c r="B334" t="s">
        <v>220</v>
      </c>
      <c r="C334" s="23">
        <v>1.15707565444921E-5</v>
      </c>
      <c r="D334">
        <v>2.5075790044370999E-4</v>
      </c>
      <c r="E334">
        <v>0.96432722781345503</v>
      </c>
      <c r="F334">
        <v>4.0515883927278997</v>
      </c>
      <c r="G334">
        <v>8.0515883927279006</v>
      </c>
      <c r="I334" t="s">
        <v>205</v>
      </c>
      <c r="J334" t="s">
        <v>220</v>
      </c>
      <c r="K334" s="23">
        <v>-6.0307449667910401E-5</v>
      </c>
      <c r="L334">
        <v>2.4616427764207502E-4</v>
      </c>
      <c r="M334">
        <v>0.81263244907897703</v>
      </c>
      <c r="N334">
        <v>4.7607786886342902</v>
      </c>
      <c r="O334">
        <v>0.81833901049007196</v>
      </c>
      <c r="P334">
        <v>8.7607786886342893</v>
      </c>
      <c r="R334" t="s">
        <v>205</v>
      </c>
      <c r="S334" t="s">
        <v>220</v>
      </c>
      <c r="T334" s="23">
        <v>-5.6264209816840397E-5</v>
      </c>
      <c r="U334">
        <v>2.5931385703036503E-4</v>
      </c>
      <c r="V334">
        <v>0.83366017758261801</v>
      </c>
      <c r="W334">
        <v>5.5638696188367103</v>
      </c>
      <c r="X334">
        <v>7.5196420138517003E-2</v>
      </c>
      <c r="Y334">
        <v>9.5638696188367103</v>
      </c>
      <c r="AA334" t="str">
        <f t="shared" si="10"/>
        <v xml:space="preserve"> </v>
      </c>
      <c r="AC334">
        <f t="shared" si="11"/>
        <v>0.81263244907897703</v>
      </c>
    </row>
    <row r="335" spans="1:29" x14ac:dyDescent="0.2">
      <c r="A335" t="s">
        <v>207</v>
      </c>
      <c r="B335" t="s">
        <v>208</v>
      </c>
      <c r="C335">
        <v>21.372185299553902</v>
      </c>
      <c r="D335">
        <v>21.740138683704</v>
      </c>
      <c r="E335">
        <v>0.35436333463495701</v>
      </c>
      <c r="F335">
        <v>112.89751684666901</v>
      </c>
      <c r="G335">
        <v>116.89751684666901</v>
      </c>
      <c r="I335" t="s">
        <v>207</v>
      </c>
      <c r="J335" t="s">
        <v>208</v>
      </c>
      <c r="K335">
        <v>-7.1184459319491697</v>
      </c>
      <c r="L335">
        <v>20.511468638570602</v>
      </c>
      <c r="M335">
        <v>0.73750865994905301</v>
      </c>
      <c r="N335">
        <v>110.045014311887</v>
      </c>
      <c r="O335" s="23">
        <v>9.9999999999999903E-8</v>
      </c>
      <c r="P335">
        <v>114.045014311887</v>
      </c>
      <c r="R335" t="s">
        <v>207</v>
      </c>
      <c r="S335" t="s">
        <v>208</v>
      </c>
      <c r="T335">
        <v>-7.1178678241594797</v>
      </c>
      <c r="U335">
        <v>20.511617465908799</v>
      </c>
      <c r="V335">
        <v>0.73753086111813904</v>
      </c>
      <c r="W335">
        <v>110.04503904575699</v>
      </c>
      <c r="X335">
        <v>4.23336542499095</v>
      </c>
      <c r="Y335">
        <v>114.04503904575699</v>
      </c>
      <c r="AA335" t="str">
        <f t="shared" si="10"/>
        <v xml:space="preserve">P &amp; OU </v>
      </c>
      <c r="AC335">
        <f t="shared" si="11"/>
        <v>0.35436333463495701</v>
      </c>
    </row>
    <row r="336" spans="1:29" x14ac:dyDescent="0.2">
      <c r="A336" t="s">
        <v>207</v>
      </c>
      <c r="B336" t="s">
        <v>209</v>
      </c>
      <c r="C336">
        <v>0.165402358680176</v>
      </c>
      <c r="D336">
        <v>0.13675181469478301</v>
      </c>
      <c r="E336">
        <v>0.26099461833695398</v>
      </c>
      <c r="F336">
        <v>112.358601911786</v>
      </c>
      <c r="G336">
        <v>116.358601911786</v>
      </c>
      <c r="I336" t="s">
        <v>207</v>
      </c>
      <c r="J336" t="s">
        <v>209</v>
      </c>
      <c r="K336">
        <v>0.17693687919273199</v>
      </c>
      <c r="L336">
        <v>0.13082517957534801</v>
      </c>
      <c r="M336">
        <v>0.21320985562755301</v>
      </c>
      <c r="N336">
        <v>108.135314948285</v>
      </c>
      <c r="O336" s="23">
        <v>9.9999999999999903E-8</v>
      </c>
      <c r="P336">
        <v>112.135314948285</v>
      </c>
      <c r="R336" t="s">
        <v>207</v>
      </c>
      <c r="S336" t="s">
        <v>209</v>
      </c>
      <c r="T336">
        <v>0.176936046659249</v>
      </c>
      <c r="U336">
        <v>0.13082540751166599</v>
      </c>
      <c r="V336">
        <v>0.21321252559408299</v>
      </c>
      <c r="W336">
        <v>108.135337437541</v>
      </c>
      <c r="X336">
        <v>4.23336542499095</v>
      </c>
      <c r="Y336">
        <v>112.135337437541</v>
      </c>
      <c r="AA336" t="str">
        <f t="shared" si="10"/>
        <v xml:space="preserve">P &amp; OU </v>
      </c>
      <c r="AC336">
        <f t="shared" si="11"/>
        <v>0.21320985562755301</v>
      </c>
    </row>
    <row r="337" spans="1:29" x14ac:dyDescent="0.2">
      <c r="A337" t="s">
        <v>207</v>
      </c>
      <c r="B337" t="s">
        <v>210</v>
      </c>
      <c r="C337">
        <v>-5.6523014874769899</v>
      </c>
      <c r="D337">
        <v>31.5428912004346</v>
      </c>
      <c r="E337">
        <v>0.86224050840527</v>
      </c>
      <c r="F337">
        <v>113.997926670806</v>
      </c>
      <c r="G337">
        <v>117.997926670806</v>
      </c>
      <c r="I337" t="s">
        <v>207</v>
      </c>
      <c r="J337" t="s">
        <v>210</v>
      </c>
      <c r="K337">
        <v>18.811265191300699</v>
      </c>
      <c r="L337">
        <v>36.186209240246001</v>
      </c>
      <c r="M337">
        <v>0.61724481785982799</v>
      </c>
      <c r="N337">
        <v>109.86222435914</v>
      </c>
      <c r="O337" s="23">
        <v>9.9999999999999903E-8</v>
      </c>
      <c r="P337">
        <v>113.86222435914</v>
      </c>
      <c r="R337" t="s">
        <v>207</v>
      </c>
      <c r="S337" t="s">
        <v>210</v>
      </c>
      <c r="T337">
        <v>18.8108551502119</v>
      </c>
      <c r="U337">
        <v>36.186130980376603</v>
      </c>
      <c r="V337">
        <v>0.61725161588976396</v>
      </c>
      <c r="W337">
        <v>109.86223568301401</v>
      </c>
      <c r="X337">
        <v>4.23336542499095</v>
      </c>
      <c r="Y337">
        <v>113.86223568301401</v>
      </c>
      <c r="AA337" t="str">
        <f t="shared" si="10"/>
        <v xml:space="preserve">P &amp; OU </v>
      </c>
      <c r="AC337">
        <f t="shared" si="11"/>
        <v>0.61724481785982799</v>
      </c>
    </row>
    <row r="338" spans="1:29" x14ac:dyDescent="0.2">
      <c r="A338" t="s">
        <v>207</v>
      </c>
      <c r="B338" t="s">
        <v>4</v>
      </c>
      <c r="C338">
        <v>-4.3912888609911098</v>
      </c>
      <c r="D338">
        <v>31.070105517102899</v>
      </c>
      <c r="E338">
        <v>0.89109962367060103</v>
      </c>
      <c r="F338">
        <v>114.01304620525001</v>
      </c>
      <c r="G338">
        <v>118.01304620525001</v>
      </c>
      <c r="I338" t="s">
        <v>207</v>
      </c>
      <c r="J338" t="s">
        <v>4</v>
      </c>
      <c r="K338">
        <v>-6.2158416672245904</v>
      </c>
      <c r="L338">
        <v>29.181193762609599</v>
      </c>
      <c r="M338">
        <v>0.83664816515247198</v>
      </c>
      <c r="N338">
        <v>110.137888847875</v>
      </c>
      <c r="O338" s="23">
        <v>9.9999999999999903E-8</v>
      </c>
      <c r="P338">
        <v>114.137888847875</v>
      </c>
      <c r="R338" t="s">
        <v>207</v>
      </c>
      <c r="S338" t="s">
        <v>4</v>
      </c>
      <c r="T338">
        <v>-6.2919570154565498</v>
      </c>
      <c r="U338">
        <v>29.1910067598678</v>
      </c>
      <c r="V338">
        <v>0.83473677886688902</v>
      </c>
      <c r="W338">
        <v>110.136884245451</v>
      </c>
      <c r="X338">
        <v>1.64020464202762</v>
      </c>
      <c r="Y338">
        <v>114.136884245451</v>
      </c>
      <c r="AA338" t="str">
        <f t="shared" si="10"/>
        <v xml:space="preserve">P &amp; OU </v>
      </c>
      <c r="AC338">
        <f t="shared" si="11"/>
        <v>0.83473677886688902</v>
      </c>
    </row>
    <row r="339" spans="1:29" x14ac:dyDescent="0.2">
      <c r="A339" t="s">
        <v>207</v>
      </c>
      <c r="B339" t="s">
        <v>3</v>
      </c>
      <c r="C339">
        <v>61.831421593234602</v>
      </c>
      <c r="D339">
        <v>322.41538457823498</v>
      </c>
      <c r="E339">
        <v>0.85269616637799295</v>
      </c>
      <c r="F339">
        <v>113.992117482867</v>
      </c>
      <c r="G339">
        <v>117.992117482867</v>
      </c>
      <c r="I339" t="s">
        <v>207</v>
      </c>
      <c r="J339" t="s">
        <v>3</v>
      </c>
      <c r="K339">
        <v>60.985232868286403</v>
      </c>
      <c r="L339">
        <v>283.68224159767902</v>
      </c>
      <c r="M339">
        <v>0.83516411972688598</v>
      </c>
      <c r="N339">
        <v>110.13684157587301</v>
      </c>
      <c r="O339" s="23">
        <v>9.9999999999999903E-8</v>
      </c>
      <c r="P339">
        <v>114.13684157587301</v>
      </c>
      <c r="R339" t="s">
        <v>207</v>
      </c>
      <c r="S339" t="s">
        <v>3</v>
      </c>
      <c r="T339">
        <v>62.137963090532097</v>
      </c>
      <c r="U339">
        <v>283.84809454666799</v>
      </c>
      <c r="V339">
        <v>0.83219972878354398</v>
      </c>
      <c r="W339">
        <v>110.135370272206</v>
      </c>
      <c r="X339">
        <v>1.56678095295322</v>
      </c>
      <c r="Y339">
        <v>114.135370272206</v>
      </c>
      <c r="AA339" t="str">
        <f t="shared" si="10"/>
        <v xml:space="preserve">P &amp; OU </v>
      </c>
      <c r="AC339">
        <f t="shared" si="11"/>
        <v>0.83219972878354398</v>
      </c>
    </row>
    <row r="340" spans="1:29" x14ac:dyDescent="0.2">
      <c r="A340" t="s">
        <v>207</v>
      </c>
      <c r="B340" t="s">
        <v>211</v>
      </c>
      <c r="C340">
        <v>-84.833112139538997</v>
      </c>
      <c r="D340">
        <v>46.761649784372203</v>
      </c>
      <c r="E340">
        <v>0.10720612104940599</v>
      </c>
      <c r="F340">
        <v>110.592184289109</v>
      </c>
      <c r="G340">
        <v>114.592184289109</v>
      </c>
      <c r="I340" t="s">
        <v>207</v>
      </c>
      <c r="J340" t="s">
        <v>211</v>
      </c>
      <c r="K340">
        <v>-103.200783274316</v>
      </c>
      <c r="L340">
        <v>72.386048130972895</v>
      </c>
      <c r="M340">
        <v>0.19178469459675601</v>
      </c>
      <c r="N340">
        <v>107.930441688115</v>
      </c>
      <c r="O340" s="23">
        <v>9.9999999999999903E-8</v>
      </c>
      <c r="P340">
        <v>111.930441688115</v>
      </c>
      <c r="R340" t="s">
        <v>207</v>
      </c>
      <c r="S340" t="s">
        <v>211</v>
      </c>
      <c r="T340">
        <v>-102.648936987732</v>
      </c>
      <c r="U340">
        <v>71.979248918907103</v>
      </c>
      <c r="V340">
        <v>0.19167561191089799</v>
      </c>
      <c r="W340">
        <v>107.92972654387999</v>
      </c>
      <c r="X340">
        <v>1.62577671210073</v>
      </c>
      <c r="Y340">
        <v>111.92972654387999</v>
      </c>
      <c r="AA340" t="str">
        <f t="shared" si="10"/>
        <v xml:space="preserve">P &amp; OU </v>
      </c>
      <c r="AC340">
        <f t="shared" si="11"/>
        <v>0.10720612104940599</v>
      </c>
    </row>
    <row r="341" spans="1:29" x14ac:dyDescent="0.2">
      <c r="A341" t="s">
        <v>207</v>
      </c>
      <c r="B341" t="s">
        <v>212</v>
      </c>
      <c r="C341">
        <v>-24.4684527123793</v>
      </c>
      <c r="D341">
        <v>136.54078271320199</v>
      </c>
      <c r="E341">
        <v>0.86223414650763597</v>
      </c>
      <c r="F341">
        <v>113.997922933602</v>
      </c>
      <c r="G341">
        <v>117.997922933602</v>
      </c>
      <c r="I341" t="s">
        <v>207</v>
      </c>
      <c r="J341" t="s">
        <v>212</v>
      </c>
      <c r="K341">
        <v>-87.209649454791403</v>
      </c>
      <c r="L341">
        <v>121.26566608448999</v>
      </c>
      <c r="M341">
        <v>0.492510654696455</v>
      </c>
      <c r="N341">
        <v>109.56799051528699</v>
      </c>
      <c r="O341" s="23">
        <v>9.9999999999999903E-8</v>
      </c>
      <c r="P341">
        <v>113.56799051528699</v>
      </c>
      <c r="R341" t="s">
        <v>207</v>
      </c>
      <c r="S341" t="s">
        <v>212</v>
      </c>
      <c r="T341">
        <v>-87.209067265694102</v>
      </c>
      <c r="U341">
        <v>121.265700181787</v>
      </c>
      <c r="V341">
        <v>0.492513573588436</v>
      </c>
      <c r="W341">
        <v>109.567997456287</v>
      </c>
      <c r="X341">
        <v>4.23336542499095</v>
      </c>
      <c r="Y341">
        <v>113.567997456287</v>
      </c>
      <c r="AA341" t="str">
        <f t="shared" si="10"/>
        <v xml:space="preserve">P &amp; OU </v>
      </c>
      <c r="AC341">
        <f t="shared" si="11"/>
        <v>0.492510654696455</v>
      </c>
    </row>
    <row r="342" spans="1:29" x14ac:dyDescent="0.2">
      <c r="A342" t="s">
        <v>207</v>
      </c>
      <c r="B342" t="s">
        <v>213</v>
      </c>
      <c r="C342">
        <v>-168.35344842230799</v>
      </c>
      <c r="D342">
        <v>106.14640768405199</v>
      </c>
      <c r="E342">
        <v>0.151388901726072</v>
      </c>
      <c r="F342">
        <v>111.303846157145</v>
      </c>
      <c r="G342">
        <v>115.303846157145</v>
      </c>
      <c r="I342" t="s">
        <v>207</v>
      </c>
      <c r="J342" t="s">
        <v>213</v>
      </c>
      <c r="K342">
        <v>-121.314564169443</v>
      </c>
      <c r="L342">
        <v>98.169961549417906</v>
      </c>
      <c r="M342">
        <v>0.25160168211193301</v>
      </c>
      <c r="N342">
        <v>108.447451806948</v>
      </c>
      <c r="O342" s="23">
        <v>9.9999999999999903E-8</v>
      </c>
      <c r="P342">
        <v>112.447451806948</v>
      </c>
      <c r="R342" t="s">
        <v>207</v>
      </c>
      <c r="S342" t="s">
        <v>213</v>
      </c>
      <c r="T342">
        <v>-121.315040757245</v>
      </c>
      <c r="U342">
        <v>98.170509067625403</v>
      </c>
      <c r="V342">
        <v>0.25160240001017797</v>
      </c>
      <c r="W342">
        <v>108.44745558445101</v>
      </c>
      <c r="X342">
        <v>4.23336542499095</v>
      </c>
      <c r="Y342">
        <v>112.44745558445101</v>
      </c>
      <c r="AA342" t="str">
        <f t="shared" si="10"/>
        <v xml:space="preserve">P &amp; OU </v>
      </c>
      <c r="AC342">
        <f t="shared" si="11"/>
        <v>0.151388901726072</v>
      </c>
    </row>
    <row r="343" spans="1:29" x14ac:dyDescent="0.2">
      <c r="A343" t="s">
        <v>207</v>
      </c>
      <c r="B343" t="s">
        <v>214</v>
      </c>
      <c r="C343">
        <v>-0.45904979233711601</v>
      </c>
      <c r="D343">
        <v>0.26050621267294699</v>
      </c>
      <c r="E343">
        <v>0.116066964624481</v>
      </c>
      <c r="F343">
        <v>110.75830489699</v>
      </c>
      <c r="G343">
        <v>114.75830489699</v>
      </c>
      <c r="I343" t="s">
        <v>207</v>
      </c>
      <c r="J343" t="s">
        <v>214</v>
      </c>
      <c r="K343">
        <v>-0.43024322592185399</v>
      </c>
      <c r="L343">
        <v>0.261769136884344</v>
      </c>
      <c r="M343">
        <v>0.138882229003225</v>
      </c>
      <c r="N343">
        <v>107.285100663912</v>
      </c>
      <c r="O343" s="23">
        <v>9.9999999999999903E-8</v>
      </c>
      <c r="P343">
        <v>111.285100663912</v>
      </c>
      <c r="R343" t="s">
        <v>207</v>
      </c>
      <c r="S343" t="s">
        <v>214</v>
      </c>
      <c r="T343">
        <v>-0.43060696689851302</v>
      </c>
      <c r="U343">
        <v>0.26199092848454297</v>
      </c>
      <c r="V343">
        <v>0.138882862933251</v>
      </c>
      <c r="W343">
        <v>107.28501657045599</v>
      </c>
      <c r="X343">
        <v>2.0651081316233602</v>
      </c>
      <c r="Y343">
        <v>111.28501657045599</v>
      </c>
      <c r="AA343" t="str">
        <f t="shared" si="10"/>
        <v xml:space="preserve">P &amp; OU </v>
      </c>
      <c r="AC343">
        <f t="shared" si="11"/>
        <v>0.116066964624481</v>
      </c>
    </row>
    <row r="344" spans="1:29" x14ac:dyDescent="0.2">
      <c r="A344" t="s">
        <v>207</v>
      </c>
      <c r="B344" t="s">
        <v>215</v>
      </c>
      <c r="C344">
        <v>-45.179448371213702</v>
      </c>
      <c r="D344">
        <v>53.973627300108099</v>
      </c>
      <c r="E344">
        <v>0.42685215330585802</v>
      </c>
      <c r="F344">
        <v>113.198390103392</v>
      </c>
      <c r="G344">
        <v>117.198390103392</v>
      </c>
      <c r="I344" t="s">
        <v>207</v>
      </c>
      <c r="J344" t="s">
        <v>215</v>
      </c>
      <c r="K344">
        <v>-38.912324433096302</v>
      </c>
      <c r="L344">
        <v>36.4365995164219</v>
      </c>
      <c r="M344">
        <v>0.316708165740478</v>
      </c>
      <c r="N344">
        <v>108.861699203177</v>
      </c>
      <c r="O344" s="23">
        <v>9.9999999999999903E-8</v>
      </c>
      <c r="P344">
        <v>112.861699203177</v>
      </c>
      <c r="R344" t="s">
        <v>207</v>
      </c>
      <c r="S344" t="s">
        <v>215</v>
      </c>
      <c r="T344">
        <v>-38.912047041104401</v>
      </c>
      <c r="U344">
        <v>36.436684256255603</v>
      </c>
      <c r="V344">
        <v>0.31671245243218799</v>
      </c>
      <c r="W344">
        <v>108.86172128839</v>
      </c>
      <c r="X344">
        <v>4.23336542499095</v>
      </c>
      <c r="Y344">
        <v>112.86172128839</v>
      </c>
      <c r="AA344" t="str">
        <f t="shared" si="10"/>
        <v xml:space="preserve">P &amp; OU </v>
      </c>
      <c r="AC344">
        <f t="shared" si="11"/>
        <v>0.316708165740478</v>
      </c>
    </row>
    <row r="345" spans="1:29" x14ac:dyDescent="0.2">
      <c r="A345" t="s">
        <v>207</v>
      </c>
      <c r="B345" t="s">
        <v>25</v>
      </c>
      <c r="C345">
        <v>-0.15303235114038899</v>
      </c>
      <c r="D345">
        <v>0.13433585546343399</v>
      </c>
      <c r="E345">
        <v>0.28758855454763199</v>
      </c>
      <c r="F345">
        <v>112.53470265525</v>
      </c>
      <c r="G345">
        <v>116.53470265525</v>
      </c>
      <c r="I345" t="s">
        <v>207</v>
      </c>
      <c r="J345" t="s">
        <v>25</v>
      </c>
      <c r="K345">
        <v>-0.13686946218802001</v>
      </c>
      <c r="L345">
        <v>0.151248240741614</v>
      </c>
      <c r="M345">
        <v>0.39193813263830501</v>
      </c>
      <c r="N345">
        <v>109.219884951343</v>
      </c>
      <c r="O345" s="23">
        <v>9.9999999999999903E-8</v>
      </c>
      <c r="P345">
        <v>113.219884951343</v>
      </c>
      <c r="R345" t="s">
        <v>207</v>
      </c>
      <c r="S345" t="s">
        <v>25</v>
      </c>
      <c r="T345">
        <v>-0.14092477651378801</v>
      </c>
      <c r="U345">
        <v>0.14836792939756599</v>
      </c>
      <c r="V345">
        <v>0.37000494008482998</v>
      </c>
      <c r="W345">
        <v>109.165056963873</v>
      </c>
      <c r="X345">
        <v>0.89744641733004604</v>
      </c>
      <c r="Y345">
        <v>113.165056963873</v>
      </c>
      <c r="AA345" t="str">
        <f t="shared" si="10"/>
        <v xml:space="preserve">P &amp; OU </v>
      </c>
      <c r="AC345">
        <f t="shared" si="11"/>
        <v>0.28758855454763199</v>
      </c>
    </row>
    <row r="346" spans="1:29" x14ac:dyDescent="0.2">
      <c r="A346" t="s">
        <v>207</v>
      </c>
      <c r="B346" t="s">
        <v>24</v>
      </c>
      <c r="C346">
        <v>34.655871609230502</v>
      </c>
      <c r="D346">
        <v>73.189426585869896</v>
      </c>
      <c r="E346">
        <v>0.64850194844308195</v>
      </c>
      <c r="F346">
        <v>113.761576247268</v>
      </c>
      <c r="G346">
        <v>117.761576247268</v>
      </c>
      <c r="I346" t="s">
        <v>207</v>
      </c>
      <c r="J346" t="s">
        <v>24</v>
      </c>
      <c r="K346">
        <v>58.8582670200256</v>
      </c>
      <c r="L346">
        <v>55.050244904815699</v>
      </c>
      <c r="M346">
        <v>0.31618736448713802</v>
      </c>
      <c r="N346">
        <v>108.858829696892</v>
      </c>
      <c r="O346" s="23">
        <v>9.9999999999999903E-8</v>
      </c>
      <c r="P346">
        <v>112.858829696892</v>
      </c>
      <c r="R346" t="s">
        <v>207</v>
      </c>
      <c r="S346" t="s">
        <v>24</v>
      </c>
      <c r="T346">
        <v>58.858025012799999</v>
      </c>
      <c r="U346">
        <v>55.050304167741302</v>
      </c>
      <c r="V346">
        <v>0.31618971654414801</v>
      </c>
      <c r="W346">
        <v>108.858841162188</v>
      </c>
      <c r="X346">
        <v>4.23336542499095</v>
      </c>
      <c r="Y346">
        <v>112.858841162188</v>
      </c>
      <c r="AA346" t="str">
        <f t="shared" si="10"/>
        <v xml:space="preserve">P &amp; OU </v>
      </c>
      <c r="AC346">
        <f t="shared" si="11"/>
        <v>0.31618736448713802</v>
      </c>
    </row>
    <row r="347" spans="1:29" x14ac:dyDescent="0.2">
      <c r="A347" t="s">
        <v>207</v>
      </c>
      <c r="B347" t="s">
        <v>23</v>
      </c>
      <c r="C347">
        <v>-0.98341114983938405</v>
      </c>
      <c r="D347">
        <v>12.8530179402456</v>
      </c>
      <c r="E347">
        <v>0.940890580307297</v>
      </c>
      <c r="F347">
        <v>114.030669562913</v>
      </c>
      <c r="G347">
        <v>118.030669562913</v>
      </c>
      <c r="I347" t="s">
        <v>207</v>
      </c>
      <c r="J347" t="s">
        <v>23</v>
      </c>
      <c r="K347">
        <v>-3.1004363533857</v>
      </c>
      <c r="L347">
        <v>10.488973440752901</v>
      </c>
      <c r="M347">
        <v>0.775070043152566</v>
      </c>
      <c r="N347">
        <v>110.085819633882</v>
      </c>
      <c r="O347" s="23">
        <v>9.9999999999999903E-8</v>
      </c>
      <c r="P347">
        <v>114.085819633882</v>
      </c>
      <c r="R347" t="s">
        <v>207</v>
      </c>
      <c r="S347" t="s">
        <v>23</v>
      </c>
      <c r="T347">
        <v>-3.1513828304043701</v>
      </c>
      <c r="U347">
        <v>10.488341698872601</v>
      </c>
      <c r="V347">
        <v>0.77148230732402601</v>
      </c>
      <c r="W347">
        <v>110.08349310295399</v>
      </c>
      <c r="X347">
        <v>1.47649846119866</v>
      </c>
      <c r="Y347">
        <v>114.08349310295399</v>
      </c>
      <c r="AA347" t="str">
        <f t="shared" si="10"/>
        <v xml:space="preserve">P &amp; OU </v>
      </c>
      <c r="AC347">
        <f t="shared" si="11"/>
        <v>0.77148230732402601</v>
      </c>
    </row>
    <row r="348" spans="1:29" x14ac:dyDescent="0.2">
      <c r="A348" t="s">
        <v>207</v>
      </c>
      <c r="B348" t="s">
        <v>220</v>
      </c>
      <c r="C348">
        <v>5.6758950774751802E-3</v>
      </c>
      <c r="D348">
        <v>6.1283867452444699E-2</v>
      </c>
      <c r="E348">
        <v>0.92848560930644597</v>
      </c>
      <c r="F348">
        <v>114.02726799259599</v>
      </c>
      <c r="G348">
        <v>118.02726799259599</v>
      </c>
      <c r="I348" t="s">
        <v>207</v>
      </c>
      <c r="J348" t="s">
        <v>220</v>
      </c>
      <c r="K348">
        <v>4.05706541371482E-2</v>
      </c>
      <c r="L348">
        <v>4.8332933477737899E-2</v>
      </c>
      <c r="M348">
        <v>0.42561598108017401</v>
      </c>
      <c r="N348">
        <v>109.35035277023501</v>
      </c>
      <c r="O348" s="23">
        <v>9.9999999999999903E-8</v>
      </c>
      <c r="P348">
        <v>113.35035277023501</v>
      </c>
      <c r="R348" t="s">
        <v>207</v>
      </c>
      <c r="S348" t="s">
        <v>220</v>
      </c>
      <c r="T348">
        <v>4.0570230362907002E-2</v>
      </c>
      <c r="U348">
        <v>4.8332999194606097E-2</v>
      </c>
      <c r="V348">
        <v>0.42562122283376103</v>
      </c>
      <c r="W348">
        <v>109.35037037327</v>
      </c>
      <c r="X348">
        <v>4.23336542499095</v>
      </c>
      <c r="Y348">
        <v>113.35037037327</v>
      </c>
      <c r="AA348" t="str">
        <f t="shared" si="10"/>
        <v xml:space="preserve">P &amp; OU </v>
      </c>
      <c r="AC348">
        <f t="shared" si="11"/>
        <v>0.42561598108017401</v>
      </c>
    </row>
    <row r="349" spans="1:29" x14ac:dyDescent="0.2">
      <c r="A349" t="s">
        <v>208</v>
      </c>
      <c r="B349" t="s">
        <v>209</v>
      </c>
      <c r="C349">
        <v>-6.5918744869801601E-4</v>
      </c>
      <c r="D349">
        <v>2.27277673453976E-3</v>
      </c>
      <c r="E349">
        <v>0.77916422118720796</v>
      </c>
      <c r="F349">
        <v>30.415293984856199</v>
      </c>
      <c r="G349">
        <v>34.415293984856199</v>
      </c>
      <c r="I349" t="s">
        <v>208</v>
      </c>
      <c r="J349" t="s">
        <v>209</v>
      </c>
      <c r="K349">
        <v>-8.9424799569694203E-4</v>
      </c>
      <c r="L349">
        <v>2.1848009594403199E-3</v>
      </c>
      <c r="M349">
        <v>0.69305580942135403</v>
      </c>
      <c r="N349">
        <v>27.878743442259498</v>
      </c>
      <c r="O349">
        <v>0.33033846728706301</v>
      </c>
      <c r="P349">
        <v>31.878743442259498</v>
      </c>
      <c r="R349" t="s">
        <v>208</v>
      </c>
      <c r="S349" t="s">
        <v>209</v>
      </c>
      <c r="T349">
        <v>-1.18813548584789E-3</v>
      </c>
      <c r="U349">
        <v>2.3172457060972899E-3</v>
      </c>
      <c r="V349">
        <v>0.62198970982579904</v>
      </c>
      <c r="W349">
        <v>27.707987846449502</v>
      </c>
      <c r="X349">
        <v>0.45004704836081499</v>
      </c>
      <c r="Y349">
        <v>31.707987846449502</v>
      </c>
      <c r="AA349" t="str">
        <f t="shared" si="10"/>
        <v xml:space="preserve">P &amp; OU </v>
      </c>
      <c r="AC349">
        <f t="shared" si="11"/>
        <v>0.62198970982579904</v>
      </c>
    </row>
    <row r="350" spans="1:29" x14ac:dyDescent="0.2">
      <c r="A350" t="s">
        <v>208</v>
      </c>
      <c r="B350" t="s">
        <v>210</v>
      </c>
      <c r="C350">
        <v>-0.60262866782013602</v>
      </c>
      <c r="D350">
        <v>0.43626344552239599</v>
      </c>
      <c r="E350">
        <v>0.20452624034174399</v>
      </c>
      <c r="F350">
        <v>28.380782064211701</v>
      </c>
      <c r="G350">
        <v>32.380782064211701</v>
      </c>
      <c r="I350" t="s">
        <v>208</v>
      </c>
      <c r="J350" t="s">
        <v>210</v>
      </c>
      <c r="K350">
        <v>-0.18351152947229299</v>
      </c>
      <c r="L350">
        <v>0.52361005797711002</v>
      </c>
      <c r="M350">
        <v>0.73503255816327995</v>
      </c>
      <c r="N350">
        <v>27.9366499742192</v>
      </c>
      <c r="O350">
        <v>0.447008138778137</v>
      </c>
      <c r="P350">
        <v>31.9366499742192</v>
      </c>
      <c r="R350" t="s">
        <v>208</v>
      </c>
      <c r="S350" t="s">
        <v>210</v>
      </c>
      <c r="T350">
        <v>-0.37955014233506801</v>
      </c>
      <c r="U350">
        <v>0.522733004443108</v>
      </c>
      <c r="V350">
        <v>0.48848058034262398</v>
      </c>
      <c r="W350">
        <v>27.4905010103584</v>
      </c>
      <c r="X350">
        <v>0.29981466695238701</v>
      </c>
      <c r="Y350">
        <v>31.4905010103584</v>
      </c>
      <c r="AA350" t="str">
        <f t="shared" si="10"/>
        <v xml:space="preserve"> </v>
      </c>
      <c r="AC350">
        <f t="shared" si="11"/>
        <v>0.20452624034174399</v>
      </c>
    </row>
    <row r="351" spans="1:29" x14ac:dyDescent="0.2">
      <c r="A351" t="s">
        <v>208</v>
      </c>
      <c r="B351" t="s">
        <v>4</v>
      </c>
      <c r="C351">
        <v>3.0120451499208601E-2</v>
      </c>
      <c r="D351">
        <v>0.47775379945809199</v>
      </c>
      <c r="E351">
        <v>0.95127668010130495</v>
      </c>
      <c r="F351">
        <v>30.5149289535516</v>
      </c>
      <c r="G351">
        <v>34.514928953551603</v>
      </c>
      <c r="I351" t="s">
        <v>208</v>
      </c>
      <c r="J351" t="s">
        <v>4</v>
      </c>
      <c r="K351">
        <v>-0.17044144655078999</v>
      </c>
      <c r="L351">
        <v>0.45344501946699001</v>
      </c>
      <c r="M351">
        <v>0.71677695905400596</v>
      </c>
      <c r="N351">
        <v>27.923197608834901</v>
      </c>
      <c r="O351">
        <v>0.30649539030045903</v>
      </c>
      <c r="P351">
        <v>31.923197608834901</v>
      </c>
      <c r="R351" t="s">
        <v>208</v>
      </c>
      <c r="S351" t="s">
        <v>4</v>
      </c>
      <c r="T351">
        <v>-0.23512498671757701</v>
      </c>
      <c r="U351">
        <v>0.47475665068797002</v>
      </c>
      <c r="V351">
        <v>0.63373630609037301</v>
      </c>
      <c r="W351">
        <v>27.7551785104407</v>
      </c>
      <c r="X351">
        <v>0.49294641935244998</v>
      </c>
      <c r="Y351">
        <v>31.7551785104407</v>
      </c>
      <c r="AA351" t="str">
        <f t="shared" si="10"/>
        <v xml:space="preserve">P &amp; OU </v>
      </c>
      <c r="AC351">
        <f t="shared" si="11"/>
        <v>0.63373630609037301</v>
      </c>
    </row>
    <row r="352" spans="1:29" x14ac:dyDescent="0.2">
      <c r="A352" t="s">
        <v>208</v>
      </c>
      <c r="B352" t="s">
        <v>3</v>
      </c>
      <c r="C352">
        <v>-9.48628801833937E-2</v>
      </c>
      <c r="D352">
        <v>4.9639750456867597</v>
      </c>
      <c r="E352">
        <v>0.98522117019766098</v>
      </c>
      <c r="F352">
        <v>30.5194397201303</v>
      </c>
      <c r="G352">
        <v>34.5194397201303</v>
      </c>
      <c r="I352" t="s">
        <v>208</v>
      </c>
      <c r="J352" t="s">
        <v>3</v>
      </c>
      <c r="K352">
        <v>2.2526952452932099</v>
      </c>
      <c r="L352">
        <v>4.5560008286637403</v>
      </c>
      <c r="M352">
        <v>0.63428189148229897</v>
      </c>
      <c r="N352">
        <v>27.850030838516599</v>
      </c>
      <c r="O352">
        <v>0.245752167769831</v>
      </c>
      <c r="P352">
        <v>31.850030838516599</v>
      </c>
      <c r="R352" t="s">
        <v>208</v>
      </c>
      <c r="S352" t="s">
        <v>3</v>
      </c>
      <c r="T352">
        <v>3.0385959711790802</v>
      </c>
      <c r="U352">
        <v>4.6140659927260401</v>
      </c>
      <c r="V352">
        <v>0.528677939479683</v>
      </c>
      <c r="W352">
        <v>27.561209479078499</v>
      </c>
      <c r="X352">
        <v>0.53197328578657099</v>
      </c>
      <c r="Y352">
        <v>31.561209479078499</v>
      </c>
      <c r="AA352" t="str">
        <f t="shared" si="10"/>
        <v xml:space="preserve">P &amp; OU </v>
      </c>
      <c r="AC352">
        <f t="shared" si="11"/>
        <v>0.528677939479683</v>
      </c>
    </row>
    <row r="353" spans="1:29" x14ac:dyDescent="0.2">
      <c r="A353" t="s">
        <v>208</v>
      </c>
      <c r="B353" t="s">
        <v>211</v>
      </c>
      <c r="C353">
        <v>-1.73394663713172</v>
      </c>
      <c r="D353">
        <v>0.59366246485363205</v>
      </c>
      <c r="E353">
        <v>1.92687817160891E-2</v>
      </c>
      <c r="F353">
        <v>23.262028687978201</v>
      </c>
      <c r="G353">
        <v>27.262028687978201</v>
      </c>
      <c r="I353" t="s">
        <v>208</v>
      </c>
      <c r="J353" t="s">
        <v>211</v>
      </c>
      <c r="K353">
        <v>-1.73394663713172</v>
      </c>
      <c r="L353">
        <v>0.59366246485363205</v>
      </c>
      <c r="M353">
        <v>1.92687817160891E-2</v>
      </c>
      <c r="N353">
        <v>25.262028687978201</v>
      </c>
      <c r="O353">
        <v>1</v>
      </c>
      <c r="P353">
        <v>29.262028687978201</v>
      </c>
      <c r="R353" t="s">
        <v>208</v>
      </c>
      <c r="S353" t="s">
        <v>211</v>
      </c>
      <c r="T353">
        <v>-1.66678162635629</v>
      </c>
      <c r="U353">
        <v>0.64993982013875096</v>
      </c>
      <c r="V353">
        <v>3.3411343529979001E-2</v>
      </c>
      <c r="W353">
        <v>25.1883131654821</v>
      </c>
      <c r="X353">
        <v>4.4335258102937598E-2</v>
      </c>
      <c r="Y353">
        <v>29.1883131654821</v>
      </c>
      <c r="AA353" t="str">
        <f t="shared" si="10"/>
        <v xml:space="preserve"> </v>
      </c>
      <c r="AC353">
        <f t="shared" si="11"/>
        <v>1.92687817160891E-2</v>
      </c>
    </row>
    <row r="354" spans="1:29" x14ac:dyDescent="0.2">
      <c r="A354" t="s">
        <v>208</v>
      </c>
      <c r="B354" t="s">
        <v>212</v>
      </c>
      <c r="C354">
        <v>1.1491949163986599</v>
      </c>
      <c r="D354">
        <v>2.0620002539762399</v>
      </c>
      <c r="E354">
        <v>0.59255538710473299</v>
      </c>
      <c r="F354">
        <v>30.138986219764099</v>
      </c>
      <c r="G354">
        <v>34.138986219764</v>
      </c>
      <c r="I354" t="s">
        <v>208</v>
      </c>
      <c r="J354" t="s">
        <v>212</v>
      </c>
      <c r="K354">
        <v>0.69612115754664605</v>
      </c>
      <c r="L354">
        <v>1.8639176125788</v>
      </c>
      <c r="M354">
        <v>0.71849987076946897</v>
      </c>
      <c r="N354">
        <v>27.904048906062702</v>
      </c>
      <c r="O354">
        <v>0.41015911560170598</v>
      </c>
      <c r="P354">
        <v>31.904048906062702</v>
      </c>
      <c r="R354" t="s">
        <v>208</v>
      </c>
      <c r="S354" t="s">
        <v>212</v>
      </c>
      <c r="T354">
        <v>0.65543384884893596</v>
      </c>
      <c r="U354">
        <v>2.0229218498312198</v>
      </c>
      <c r="V354">
        <v>0.75424397437952395</v>
      </c>
      <c r="W354">
        <v>27.895425199524301</v>
      </c>
      <c r="X354">
        <v>0.38050232719843702</v>
      </c>
      <c r="Y354">
        <v>31.895425199524301</v>
      </c>
      <c r="AA354" t="str">
        <f t="shared" si="10"/>
        <v xml:space="preserve">P &amp; OU </v>
      </c>
      <c r="AC354">
        <f t="shared" si="11"/>
        <v>0.59255538710473299</v>
      </c>
    </row>
    <row r="355" spans="1:29" x14ac:dyDescent="0.2">
      <c r="A355" t="s">
        <v>208</v>
      </c>
      <c r="B355" t="s">
        <v>213</v>
      </c>
      <c r="C355">
        <v>-2.5515768248044099</v>
      </c>
      <c r="D355">
        <v>1.6373358086130001</v>
      </c>
      <c r="E355">
        <v>0.15776216901623799</v>
      </c>
      <c r="F355">
        <v>27.868867522298199</v>
      </c>
      <c r="G355">
        <v>31.868867522298199</v>
      </c>
      <c r="I355" t="s">
        <v>208</v>
      </c>
      <c r="J355" t="s">
        <v>213</v>
      </c>
      <c r="K355">
        <v>2.8123202585881701</v>
      </c>
      <c r="L355">
        <v>1.5397093448904799</v>
      </c>
      <c r="M355">
        <v>0.105195376339265</v>
      </c>
      <c r="N355">
        <v>25.345319476896702</v>
      </c>
      <c r="O355" s="23">
        <v>9.9999999999999903E-8</v>
      </c>
      <c r="P355">
        <v>29.345319476896702</v>
      </c>
      <c r="R355" t="s">
        <v>208</v>
      </c>
      <c r="S355" t="s">
        <v>213</v>
      </c>
      <c r="T355">
        <v>2.8122232116114398</v>
      </c>
      <c r="U355">
        <v>1.53973012559138</v>
      </c>
      <c r="V355">
        <v>0.10520950601710601</v>
      </c>
      <c r="W355">
        <v>25.3454816381104</v>
      </c>
      <c r="X355">
        <v>4.23336542499095</v>
      </c>
      <c r="Y355">
        <v>29.3454816381104</v>
      </c>
      <c r="AA355" t="str">
        <f t="shared" si="10"/>
        <v xml:space="preserve">P &amp; OU </v>
      </c>
      <c r="AC355">
        <f t="shared" si="11"/>
        <v>0.105195376339265</v>
      </c>
    </row>
    <row r="356" spans="1:29" x14ac:dyDescent="0.2">
      <c r="A356" t="s">
        <v>208</v>
      </c>
      <c r="B356" t="s">
        <v>214</v>
      </c>
      <c r="C356">
        <v>-5.8402415318531001E-3</v>
      </c>
      <c r="D356">
        <v>4.2386054949496901E-3</v>
      </c>
      <c r="E356">
        <v>0.20555413126878799</v>
      </c>
      <c r="F356">
        <v>28.390457147085701</v>
      </c>
      <c r="G356">
        <v>32.390457147085698</v>
      </c>
      <c r="I356" t="s">
        <v>208</v>
      </c>
      <c r="J356" t="s">
        <v>214</v>
      </c>
      <c r="K356">
        <v>6.8622543534063198E-3</v>
      </c>
      <c r="L356">
        <v>4.5763879826920704E-3</v>
      </c>
      <c r="M356">
        <v>0.17213229068326499</v>
      </c>
      <c r="N356">
        <v>26.354042234444901</v>
      </c>
      <c r="O356" s="23">
        <v>9.9999999999999903E-8</v>
      </c>
      <c r="P356">
        <v>30.354042234444901</v>
      </c>
      <c r="R356" t="s">
        <v>208</v>
      </c>
      <c r="S356" t="s">
        <v>214</v>
      </c>
      <c r="T356">
        <v>6.8619559819979503E-3</v>
      </c>
      <c r="U356">
        <v>4.5764330317539202E-3</v>
      </c>
      <c r="V356">
        <v>0.17215257805991699</v>
      </c>
      <c r="W356">
        <v>26.354155827789999</v>
      </c>
      <c r="X356">
        <v>4.23336542499095</v>
      </c>
      <c r="Y356">
        <v>30.354155827789999</v>
      </c>
      <c r="AA356" t="str">
        <f t="shared" si="10"/>
        <v xml:space="preserve">P &amp; OU </v>
      </c>
      <c r="AC356">
        <f t="shared" si="11"/>
        <v>0.17213229068326499</v>
      </c>
    </row>
    <row r="357" spans="1:29" x14ac:dyDescent="0.2">
      <c r="A357" t="s">
        <v>208</v>
      </c>
      <c r="B357" t="s">
        <v>215</v>
      </c>
      <c r="C357">
        <v>0.244156843931366</v>
      </c>
      <c r="D357">
        <v>0.86033135304319597</v>
      </c>
      <c r="E357">
        <v>0.78377456087367803</v>
      </c>
      <c r="F357">
        <v>30.419725830591801</v>
      </c>
      <c r="G357">
        <v>34.419725830591801</v>
      </c>
      <c r="I357" t="s">
        <v>208</v>
      </c>
      <c r="J357" t="s">
        <v>215</v>
      </c>
      <c r="K357">
        <v>0.67308197717462404</v>
      </c>
      <c r="L357">
        <v>0.622390559660571</v>
      </c>
      <c r="M357">
        <v>0.31101710400321902</v>
      </c>
      <c r="N357">
        <v>27.466474711598998</v>
      </c>
      <c r="O357" s="23">
        <v>9.9999999999999903E-8</v>
      </c>
      <c r="P357">
        <v>31.466474711598998</v>
      </c>
      <c r="R357" t="s">
        <v>208</v>
      </c>
      <c r="S357" t="s">
        <v>215</v>
      </c>
      <c r="T357">
        <v>0.59779129287131905</v>
      </c>
      <c r="U357">
        <v>0.62228948055545097</v>
      </c>
      <c r="V357">
        <v>0.36486803383310101</v>
      </c>
      <c r="W357">
        <v>27.005395455629699</v>
      </c>
      <c r="X357">
        <v>0.54075574963353501</v>
      </c>
      <c r="Y357">
        <v>31.005395455629699</v>
      </c>
      <c r="AA357" t="str">
        <f t="shared" si="10"/>
        <v xml:space="preserve">P &amp; OU </v>
      </c>
      <c r="AC357">
        <f t="shared" si="11"/>
        <v>0.31101710400321902</v>
      </c>
    </row>
    <row r="358" spans="1:29" x14ac:dyDescent="0.2">
      <c r="A358" t="s">
        <v>208</v>
      </c>
      <c r="B358" t="s">
        <v>25</v>
      </c>
      <c r="C358">
        <v>-4.1314370105898302E-3</v>
      </c>
      <c r="D358">
        <v>1.6779457962394701E-3</v>
      </c>
      <c r="E358">
        <v>3.91841491003182E-2</v>
      </c>
      <c r="F358">
        <v>24.879247788455601</v>
      </c>
      <c r="G358">
        <v>28.879247788455601</v>
      </c>
      <c r="I358" t="s">
        <v>208</v>
      </c>
      <c r="J358" t="s">
        <v>25</v>
      </c>
      <c r="K358">
        <v>-2.9117539890888599E-3</v>
      </c>
      <c r="L358">
        <v>2.0000992308875898E-3</v>
      </c>
      <c r="M358">
        <v>0.18353930259131301</v>
      </c>
      <c r="N358">
        <v>26.738549671937399</v>
      </c>
      <c r="O358">
        <v>0.80791867511682602</v>
      </c>
      <c r="P358">
        <v>30.738549671937399</v>
      </c>
      <c r="R358" t="s">
        <v>208</v>
      </c>
      <c r="S358" t="s">
        <v>25</v>
      </c>
      <c r="T358">
        <v>-3.2649354505530298E-3</v>
      </c>
      <c r="U358">
        <v>2.01257807424091E-3</v>
      </c>
      <c r="V358">
        <v>0.14340364540577899</v>
      </c>
      <c r="W358">
        <v>25.772401847663101</v>
      </c>
      <c r="X358">
        <v>0.199563981992778</v>
      </c>
      <c r="Y358">
        <v>29.772401847663101</v>
      </c>
      <c r="AA358" t="str">
        <f t="shared" si="10"/>
        <v xml:space="preserve"> </v>
      </c>
      <c r="AC358">
        <f t="shared" si="11"/>
        <v>3.91841491003182E-2</v>
      </c>
    </row>
    <row r="359" spans="1:29" x14ac:dyDescent="0.2">
      <c r="A359" t="s">
        <v>208</v>
      </c>
      <c r="B359" t="s">
        <v>24</v>
      </c>
      <c r="C359">
        <v>3.6108423579826798E-2</v>
      </c>
      <c r="D359">
        <v>1.1398586332138301</v>
      </c>
      <c r="E359">
        <v>0.97550491797043004</v>
      </c>
      <c r="F359">
        <v>30.518641922836999</v>
      </c>
      <c r="G359">
        <v>34.518641922836999</v>
      </c>
      <c r="I359" t="s">
        <v>208</v>
      </c>
      <c r="J359" t="s">
        <v>24</v>
      </c>
      <c r="K359">
        <v>-0.123262010373657</v>
      </c>
      <c r="L359">
        <v>0.96627729583919897</v>
      </c>
      <c r="M359">
        <v>0.90164240847348498</v>
      </c>
      <c r="N359">
        <v>28.0578715690744</v>
      </c>
      <c r="O359">
        <v>0.35417880324943501</v>
      </c>
      <c r="P359">
        <v>32.0578715690744</v>
      </c>
      <c r="R359" t="s">
        <v>208</v>
      </c>
      <c r="S359" t="s">
        <v>24</v>
      </c>
      <c r="T359">
        <v>-0.44372288335347099</v>
      </c>
      <c r="U359">
        <v>0.96158510622037296</v>
      </c>
      <c r="V359">
        <v>0.65676370965744402</v>
      </c>
      <c r="W359">
        <v>27.772106973630301</v>
      </c>
      <c r="X359">
        <v>0.45729212052794499</v>
      </c>
      <c r="Y359">
        <v>31.772106973630301</v>
      </c>
      <c r="AA359" t="str">
        <f t="shared" si="10"/>
        <v xml:space="preserve">P &amp; OU </v>
      </c>
      <c r="AC359">
        <f t="shared" si="11"/>
        <v>0.65676370965744402</v>
      </c>
    </row>
    <row r="360" spans="1:29" x14ac:dyDescent="0.2">
      <c r="A360" t="s">
        <v>208</v>
      </c>
      <c r="B360" t="s">
        <v>23</v>
      </c>
      <c r="C360">
        <v>-0.19117136109291</v>
      </c>
      <c r="D360">
        <v>0.185586529845429</v>
      </c>
      <c r="E360">
        <v>0.333100405016027</v>
      </c>
      <c r="F360">
        <v>29.274415953774799</v>
      </c>
      <c r="G360">
        <v>33.274415953774799</v>
      </c>
      <c r="I360" t="s">
        <v>208</v>
      </c>
      <c r="J360" t="s">
        <v>23</v>
      </c>
      <c r="K360">
        <v>-0.14812985536748599</v>
      </c>
      <c r="L360">
        <v>0.157982892532573</v>
      </c>
      <c r="M360">
        <v>0.37587311502126602</v>
      </c>
      <c r="N360">
        <v>27.089626512167499</v>
      </c>
      <c r="O360">
        <v>0.50741821880247095</v>
      </c>
      <c r="P360">
        <v>31.089626512167499</v>
      </c>
      <c r="R360" t="s">
        <v>208</v>
      </c>
      <c r="S360" t="s">
        <v>23</v>
      </c>
      <c r="T360">
        <v>-8.2160816288002494E-2</v>
      </c>
      <c r="U360">
        <v>0.171608659741118</v>
      </c>
      <c r="V360">
        <v>0.64491511941243396</v>
      </c>
      <c r="W360">
        <v>27.759037255092299</v>
      </c>
      <c r="X360">
        <v>0.35507053104289499</v>
      </c>
      <c r="Y360">
        <v>31.759037255092299</v>
      </c>
      <c r="AA360" t="str">
        <f t="shared" si="10"/>
        <v xml:space="preserve">P </v>
      </c>
      <c r="AC360">
        <f t="shared" si="11"/>
        <v>0.333100405016027</v>
      </c>
    </row>
    <row r="361" spans="1:29" x14ac:dyDescent="0.2">
      <c r="A361" t="s">
        <v>208</v>
      </c>
      <c r="B361" t="s">
        <v>220</v>
      </c>
      <c r="C361">
        <v>-5.4025903014458298E-4</v>
      </c>
      <c r="D361">
        <v>9.2233296996764298E-4</v>
      </c>
      <c r="E361">
        <v>0.57419030410641203</v>
      </c>
      <c r="F361">
        <v>30.099955663856601</v>
      </c>
      <c r="G361">
        <v>34.099955663856598</v>
      </c>
      <c r="I361" t="s">
        <v>208</v>
      </c>
      <c r="J361" t="s">
        <v>220</v>
      </c>
      <c r="K361">
        <v>-4.5614676344142102E-4</v>
      </c>
      <c r="L361">
        <v>8.2733583949339202E-4</v>
      </c>
      <c r="M361">
        <v>0.59645638245035804</v>
      </c>
      <c r="N361">
        <v>27.798528274381699</v>
      </c>
      <c r="O361">
        <v>0.229022867489551</v>
      </c>
      <c r="P361">
        <v>31.798528274381699</v>
      </c>
      <c r="R361" t="s">
        <v>208</v>
      </c>
      <c r="S361" t="s">
        <v>220</v>
      </c>
      <c r="T361">
        <v>-6.6059825683393496E-4</v>
      </c>
      <c r="U361">
        <v>8.0048992427207797E-4</v>
      </c>
      <c r="V361">
        <v>0.43315092933845101</v>
      </c>
      <c r="W361">
        <v>27.220424802383398</v>
      </c>
      <c r="X361">
        <v>0.46225475415068901</v>
      </c>
      <c r="Y361">
        <v>31.220424802383398</v>
      </c>
      <c r="AA361" t="str">
        <f t="shared" si="10"/>
        <v xml:space="preserve">P &amp; OU </v>
      </c>
      <c r="AC361">
        <f t="shared" si="11"/>
        <v>0.43315092933845101</v>
      </c>
    </row>
    <row r="362" spans="1:29" x14ac:dyDescent="0.2">
      <c r="A362" t="s">
        <v>209</v>
      </c>
      <c r="B362" t="s">
        <v>210</v>
      </c>
      <c r="C362">
        <v>99.628576983021404</v>
      </c>
      <c r="D362">
        <v>66.363476504647807</v>
      </c>
      <c r="E362">
        <v>0.171685068980377</v>
      </c>
      <c r="F362">
        <v>128.87389881952799</v>
      </c>
      <c r="G362">
        <v>132.87389881952799</v>
      </c>
      <c r="I362" t="s">
        <v>209</v>
      </c>
      <c r="J362" t="s">
        <v>210</v>
      </c>
      <c r="K362">
        <v>111.305488967266</v>
      </c>
      <c r="L362">
        <v>80.610359652442298</v>
      </c>
      <c r="M362">
        <v>0.204690891213303</v>
      </c>
      <c r="N362">
        <v>125.881206096887</v>
      </c>
      <c r="O362" s="23">
        <v>9.9999999999999903E-8</v>
      </c>
      <c r="P362">
        <v>129.88120609688701</v>
      </c>
      <c r="R362" t="s">
        <v>209</v>
      </c>
      <c r="S362" t="s">
        <v>210</v>
      </c>
      <c r="T362">
        <v>110.234350567848</v>
      </c>
      <c r="U362">
        <v>78.942587473123496</v>
      </c>
      <c r="V362">
        <v>0.20012429014182101</v>
      </c>
      <c r="W362">
        <v>125.82434133732001</v>
      </c>
      <c r="X362">
        <v>0.79000810266813404</v>
      </c>
      <c r="Y362">
        <v>129.82434133731999</v>
      </c>
      <c r="AA362" t="str">
        <f t="shared" si="10"/>
        <v xml:space="preserve">P &amp; OU </v>
      </c>
      <c r="AC362">
        <f t="shared" si="11"/>
        <v>0.171685068980377</v>
      </c>
    </row>
    <row r="363" spans="1:29" x14ac:dyDescent="0.2">
      <c r="A363" t="s">
        <v>209</v>
      </c>
      <c r="B363" t="s">
        <v>4</v>
      </c>
      <c r="C363">
        <v>28.971837928221799</v>
      </c>
      <c r="D363">
        <v>73.237272736017204</v>
      </c>
      <c r="E363">
        <v>0.70274834999303204</v>
      </c>
      <c r="F363">
        <v>131.16221345022001</v>
      </c>
      <c r="G363">
        <v>135.16221345022001</v>
      </c>
      <c r="I363" t="s">
        <v>209</v>
      </c>
      <c r="J363" t="s">
        <v>4</v>
      </c>
      <c r="K363">
        <v>43.305785785056301</v>
      </c>
      <c r="L363">
        <v>69.685746921691006</v>
      </c>
      <c r="M363">
        <v>0.55160029676909705</v>
      </c>
      <c r="N363">
        <v>127.547315897827</v>
      </c>
      <c r="O363" s="23">
        <v>9.9999999999999903E-8</v>
      </c>
      <c r="P363">
        <v>131.54731589782699</v>
      </c>
      <c r="R363" t="s">
        <v>209</v>
      </c>
      <c r="S363" t="s">
        <v>4</v>
      </c>
      <c r="T363">
        <v>42.834679305457897</v>
      </c>
      <c r="U363">
        <v>69.748462905364903</v>
      </c>
      <c r="V363">
        <v>0.55618621687313097</v>
      </c>
      <c r="W363">
        <v>127.539567163982</v>
      </c>
      <c r="X363">
        <v>1.1489568977390201</v>
      </c>
      <c r="Y363">
        <v>131.53956716398201</v>
      </c>
      <c r="AA363" t="str">
        <f t="shared" si="10"/>
        <v xml:space="preserve">P &amp; OU </v>
      </c>
      <c r="AC363">
        <f t="shared" si="11"/>
        <v>0.55160029676909705</v>
      </c>
    </row>
    <row r="364" spans="1:29" x14ac:dyDescent="0.2">
      <c r="A364" t="s">
        <v>209</v>
      </c>
      <c r="B364" t="s">
        <v>3</v>
      </c>
      <c r="C364">
        <v>-325.39142908301898</v>
      </c>
      <c r="D364">
        <v>759.52262115593305</v>
      </c>
      <c r="E364">
        <v>0.67964981989608197</v>
      </c>
      <c r="F364">
        <v>131.12910503200601</v>
      </c>
      <c r="G364">
        <v>135.12910503200601</v>
      </c>
      <c r="I364" t="s">
        <v>209</v>
      </c>
      <c r="J364" t="s">
        <v>3</v>
      </c>
      <c r="K364">
        <v>-460.036611674943</v>
      </c>
      <c r="L364">
        <v>674.29980003507796</v>
      </c>
      <c r="M364">
        <v>0.51434957836336503</v>
      </c>
      <c r="N364">
        <v>127.453243076691</v>
      </c>
      <c r="O364" s="23">
        <v>9.9999999999999903E-8</v>
      </c>
      <c r="P364">
        <v>131.453243076691</v>
      </c>
      <c r="R364" t="s">
        <v>209</v>
      </c>
      <c r="S364" t="s">
        <v>3</v>
      </c>
      <c r="T364">
        <v>-455.930330088988</v>
      </c>
      <c r="U364">
        <v>675.26321493209502</v>
      </c>
      <c r="V364">
        <v>0.51859038554977199</v>
      </c>
      <c r="W364">
        <v>127.44747334289301</v>
      </c>
      <c r="X364">
        <v>1.19874188094067</v>
      </c>
      <c r="Y364">
        <v>131.44747334289301</v>
      </c>
      <c r="AA364" t="str">
        <f t="shared" si="10"/>
        <v xml:space="preserve">P &amp; OU </v>
      </c>
      <c r="AC364">
        <f t="shared" si="11"/>
        <v>0.51434957836336503</v>
      </c>
    </row>
    <row r="365" spans="1:29" x14ac:dyDescent="0.2">
      <c r="A365" t="s">
        <v>209</v>
      </c>
      <c r="B365" t="s">
        <v>211</v>
      </c>
      <c r="C365">
        <v>33.358268154576898</v>
      </c>
      <c r="D365">
        <v>131.531604816634</v>
      </c>
      <c r="E365">
        <v>0.80618987334202796</v>
      </c>
      <c r="F365">
        <v>131.275859201343</v>
      </c>
      <c r="G365">
        <v>135.275859201343</v>
      </c>
      <c r="I365" t="s">
        <v>209</v>
      </c>
      <c r="J365" t="s">
        <v>211</v>
      </c>
      <c r="K365">
        <v>-17.5279131853572</v>
      </c>
      <c r="L365">
        <v>197.53938589416001</v>
      </c>
      <c r="M365">
        <v>0.93147657994184796</v>
      </c>
      <c r="N365">
        <v>128.00892991331099</v>
      </c>
      <c r="O365" s="23">
        <v>9.9999999999999903E-8</v>
      </c>
      <c r="P365">
        <v>132.00892991331099</v>
      </c>
      <c r="R365" t="s">
        <v>209</v>
      </c>
      <c r="S365" t="s">
        <v>211</v>
      </c>
      <c r="T365">
        <v>-10.0819659252302</v>
      </c>
      <c r="U365">
        <v>192.03070215796799</v>
      </c>
      <c r="V365">
        <v>0.95941615082014797</v>
      </c>
      <c r="W365">
        <v>127.993582837472</v>
      </c>
      <c r="X365">
        <v>1.00461472890896</v>
      </c>
      <c r="Y365">
        <v>131.99358283747199</v>
      </c>
      <c r="AA365" t="str">
        <f t="shared" si="10"/>
        <v xml:space="preserve">P &amp; OU </v>
      </c>
      <c r="AC365">
        <f t="shared" si="11"/>
        <v>0.80618987334202796</v>
      </c>
    </row>
    <row r="366" spans="1:29" x14ac:dyDescent="0.2">
      <c r="A366" t="s">
        <v>209</v>
      </c>
      <c r="B366" t="s">
        <v>212</v>
      </c>
      <c r="C366">
        <v>-525.45718740985205</v>
      </c>
      <c r="D366">
        <v>266.94492041570902</v>
      </c>
      <c r="E366">
        <v>8.4551265123187599E-2</v>
      </c>
      <c r="F366">
        <v>127.40630297530301</v>
      </c>
      <c r="G366">
        <v>131.40630297530299</v>
      </c>
      <c r="I366" t="s">
        <v>209</v>
      </c>
      <c r="J366" t="s">
        <v>212</v>
      </c>
      <c r="K366">
        <v>-344.22380559693198</v>
      </c>
      <c r="L366">
        <v>279.73731537365802</v>
      </c>
      <c r="M366">
        <v>0.253452049518748</v>
      </c>
      <c r="N366">
        <v>126.28533605829899</v>
      </c>
      <c r="O366" s="23">
        <v>9.9999999999999903E-8</v>
      </c>
      <c r="P366">
        <v>130.28533605829901</v>
      </c>
      <c r="R366" t="s">
        <v>209</v>
      </c>
      <c r="S366" t="s">
        <v>212</v>
      </c>
      <c r="T366">
        <v>-362.27180409276502</v>
      </c>
      <c r="U366">
        <v>278.07492132283301</v>
      </c>
      <c r="V366">
        <v>0.22889595528803799</v>
      </c>
      <c r="W366">
        <v>126.199420466031</v>
      </c>
      <c r="X366">
        <v>0.53980976173946604</v>
      </c>
      <c r="Y366">
        <v>130.199420466031</v>
      </c>
      <c r="AA366" t="str">
        <f t="shared" si="10"/>
        <v xml:space="preserve"> </v>
      </c>
      <c r="AC366">
        <f t="shared" si="11"/>
        <v>8.4551265123187599E-2</v>
      </c>
    </row>
    <row r="367" spans="1:29" x14ac:dyDescent="0.2">
      <c r="A367" t="s">
        <v>209</v>
      </c>
      <c r="B367" t="s">
        <v>213</v>
      </c>
      <c r="C367">
        <v>137.32097139063001</v>
      </c>
      <c r="D367">
        <v>285.18523172772001</v>
      </c>
      <c r="E367">
        <v>0.64304586914919404</v>
      </c>
      <c r="F367">
        <v>131.07023734405601</v>
      </c>
      <c r="G367">
        <v>135.07023734405601</v>
      </c>
      <c r="I367" t="s">
        <v>209</v>
      </c>
      <c r="J367" t="s">
        <v>213</v>
      </c>
      <c r="K367">
        <v>-69.115166180409702</v>
      </c>
      <c r="L367">
        <v>260.04912236311202</v>
      </c>
      <c r="M367">
        <v>0.79713163054629899</v>
      </c>
      <c r="N367">
        <v>127.930857153048</v>
      </c>
      <c r="O367" s="23">
        <v>9.9999999999999903E-8</v>
      </c>
      <c r="P367">
        <v>131.93085715304801</v>
      </c>
      <c r="R367" t="s">
        <v>209</v>
      </c>
      <c r="S367" t="s">
        <v>213</v>
      </c>
      <c r="T367">
        <v>-65.307605744443194</v>
      </c>
      <c r="U367">
        <v>261.471435487105</v>
      </c>
      <c r="V367">
        <v>0.80905953862509405</v>
      </c>
      <c r="W367">
        <v>127.929565169223</v>
      </c>
      <c r="X367">
        <v>1.40002999221105</v>
      </c>
      <c r="Y367">
        <v>131.929565169223</v>
      </c>
      <c r="AA367" t="str">
        <f t="shared" si="10"/>
        <v xml:space="preserve">P &amp; OU </v>
      </c>
      <c r="AC367">
        <f t="shared" si="11"/>
        <v>0.64304586914919404</v>
      </c>
    </row>
    <row r="368" spans="1:29" x14ac:dyDescent="0.2">
      <c r="A368" t="s">
        <v>209</v>
      </c>
      <c r="B368" t="s">
        <v>214</v>
      </c>
      <c r="C368">
        <v>0.37516761843631602</v>
      </c>
      <c r="D368">
        <v>0.71745035119481204</v>
      </c>
      <c r="E368">
        <v>0.61520087998491202</v>
      </c>
      <c r="F368">
        <v>131.019845664131</v>
      </c>
      <c r="G368">
        <v>135.019845664131</v>
      </c>
      <c r="I368" t="s">
        <v>209</v>
      </c>
      <c r="J368" t="s">
        <v>214</v>
      </c>
      <c r="K368">
        <v>-3.9138132249437498E-2</v>
      </c>
      <c r="L368">
        <v>0.73801969919480004</v>
      </c>
      <c r="M368">
        <v>0.95900732349627205</v>
      </c>
      <c r="N368">
        <v>128.01525183463099</v>
      </c>
      <c r="O368" s="23">
        <v>9.9999999999999903E-8</v>
      </c>
      <c r="P368">
        <v>132.01525183463099</v>
      </c>
      <c r="R368" t="s">
        <v>209</v>
      </c>
      <c r="S368" t="s">
        <v>214</v>
      </c>
      <c r="T368">
        <v>-3.5480981418309901E-3</v>
      </c>
      <c r="U368">
        <v>0.74518080612137105</v>
      </c>
      <c r="V368">
        <v>0.99631756418253503</v>
      </c>
      <c r="W368">
        <v>127.996754760313</v>
      </c>
      <c r="X368">
        <v>0.96826001938561301</v>
      </c>
      <c r="Y368">
        <v>131.996754760313</v>
      </c>
      <c r="AA368" t="str">
        <f t="shared" si="10"/>
        <v xml:space="preserve">P &amp; OU </v>
      </c>
      <c r="AC368">
        <f t="shared" si="11"/>
        <v>0.61520087998491202</v>
      </c>
    </row>
    <row r="369" spans="1:29" x14ac:dyDescent="0.2">
      <c r="A369" t="s">
        <v>209</v>
      </c>
      <c r="B369" t="s">
        <v>215</v>
      </c>
      <c r="C369">
        <v>-148.22025688301301</v>
      </c>
      <c r="D369">
        <v>123.114757174845</v>
      </c>
      <c r="E369">
        <v>0.26303098566280098</v>
      </c>
      <c r="F369">
        <v>129.69081733616599</v>
      </c>
      <c r="G369">
        <v>133.69081733616599</v>
      </c>
      <c r="I369" t="s">
        <v>209</v>
      </c>
      <c r="J369" t="s">
        <v>215</v>
      </c>
      <c r="K369">
        <v>-107.127442542092</v>
      </c>
      <c r="L369">
        <v>87.076685608220103</v>
      </c>
      <c r="M369">
        <v>0.25354411624401102</v>
      </c>
      <c r="N369">
        <v>126.28600767274401</v>
      </c>
      <c r="O369" s="23">
        <v>9.9999999999999903E-8</v>
      </c>
      <c r="P369">
        <v>130.28600767274401</v>
      </c>
      <c r="R369" t="s">
        <v>209</v>
      </c>
      <c r="S369" t="s">
        <v>215</v>
      </c>
      <c r="T369">
        <v>-106.910265832634</v>
      </c>
      <c r="U369">
        <v>87.246749247336396</v>
      </c>
      <c r="V369">
        <v>0.25528219051602202</v>
      </c>
      <c r="W369">
        <v>126.283590455615</v>
      </c>
      <c r="X369">
        <v>1.26895652532518</v>
      </c>
      <c r="Y369">
        <v>130.28359045561501</v>
      </c>
      <c r="AA369" t="str">
        <f t="shared" si="10"/>
        <v xml:space="preserve">P &amp; OU </v>
      </c>
      <c r="AC369">
        <f t="shared" si="11"/>
        <v>0.25354411624401102</v>
      </c>
    </row>
    <row r="370" spans="1:29" x14ac:dyDescent="0.2">
      <c r="A370" t="s">
        <v>209</v>
      </c>
      <c r="B370" t="s">
        <v>25</v>
      </c>
      <c r="C370">
        <v>0.41534720574084599</v>
      </c>
      <c r="D370">
        <v>0.31137211113733898</v>
      </c>
      <c r="E370">
        <v>0.21895278136208901</v>
      </c>
      <c r="F370">
        <v>129.34761560554</v>
      </c>
      <c r="G370">
        <v>133.34761560554</v>
      </c>
      <c r="I370" t="s">
        <v>209</v>
      </c>
      <c r="J370" t="s">
        <v>25</v>
      </c>
      <c r="K370">
        <v>0.53007777520646504</v>
      </c>
      <c r="L370">
        <v>0.33878991281307702</v>
      </c>
      <c r="M370">
        <v>0.15630219443850599</v>
      </c>
      <c r="N370">
        <v>125.34903942479799</v>
      </c>
      <c r="O370" s="23">
        <v>9.9999999999999903E-8</v>
      </c>
      <c r="P370">
        <v>129.34903942479801</v>
      </c>
      <c r="R370" t="s">
        <v>209</v>
      </c>
      <c r="S370" t="s">
        <v>25</v>
      </c>
      <c r="T370">
        <v>0.53007398381632997</v>
      </c>
      <c r="U370">
        <v>0.33878841972437901</v>
      </c>
      <c r="V370">
        <v>0.156303193675599</v>
      </c>
      <c r="W370">
        <v>125.34903993344</v>
      </c>
      <c r="X370">
        <v>4.23336542499095</v>
      </c>
      <c r="Y370">
        <v>129.34903993344</v>
      </c>
      <c r="AA370" t="str">
        <f t="shared" si="10"/>
        <v xml:space="preserve">P &amp; OU </v>
      </c>
      <c r="AC370">
        <f t="shared" si="11"/>
        <v>0.15630219443850599</v>
      </c>
    </row>
    <row r="371" spans="1:29" x14ac:dyDescent="0.2">
      <c r="A371" t="s">
        <v>209</v>
      </c>
      <c r="B371" t="s">
        <v>24</v>
      </c>
      <c r="C371">
        <v>44.563321778597803</v>
      </c>
      <c r="D371">
        <v>175.69761290531201</v>
      </c>
      <c r="E371">
        <v>0.806173179077039</v>
      </c>
      <c r="F371">
        <v>131.27584512564101</v>
      </c>
      <c r="G371">
        <v>135.27584512564101</v>
      </c>
      <c r="I371" t="s">
        <v>209</v>
      </c>
      <c r="J371" t="s">
        <v>24</v>
      </c>
      <c r="K371">
        <v>69.0970484052323</v>
      </c>
      <c r="L371">
        <v>141.391888587556</v>
      </c>
      <c r="M371">
        <v>0.63817428397834497</v>
      </c>
      <c r="N371">
        <v>127.72461119444201</v>
      </c>
      <c r="O371" s="23">
        <v>9.9999999999999903E-8</v>
      </c>
      <c r="P371">
        <v>131.72461119444301</v>
      </c>
      <c r="R371" t="s">
        <v>209</v>
      </c>
      <c r="S371" t="s">
        <v>24</v>
      </c>
      <c r="T371">
        <v>68.1898538982568</v>
      </c>
      <c r="U371">
        <v>141.50134348279701</v>
      </c>
      <c r="V371">
        <v>0.64278235798307304</v>
      </c>
      <c r="W371">
        <v>127.711603489428</v>
      </c>
      <c r="X371">
        <v>1.05004695143793</v>
      </c>
      <c r="Y371">
        <v>131.711603489428</v>
      </c>
      <c r="AA371" t="str">
        <f t="shared" si="10"/>
        <v xml:space="preserve">P &amp; OU </v>
      </c>
      <c r="AC371">
        <f t="shared" si="11"/>
        <v>0.63817428397834497</v>
      </c>
    </row>
    <row r="372" spans="1:29" x14ac:dyDescent="0.2">
      <c r="A372" t="s">
        <v>209</v>
      </c>
      <c r="B372" t="s">
        <v>23</v>
      </c>
      <c r="C372">
        <v>19.797486853503798</v>
      </c>
      <c r="D372">
        <v>29.752334847146201</v>
      </c>
      <c r="E372">
        <v>0.52450507261048396</v>
      </c>
      <c r="F372">
        <v>130.81724892771001</v>
      </c>
      <c r="G372">
        <v>134.81724892771001</v>
      </c>
      <c r="I372" t="s">
        <v>209</v>
      </c>
      <c r="J372" t="s">
        <v>23</v>
      </c>
      <c r="K372">
        <v>11.3863443045802</v>
      </c>
      <c r="L372">
        <v>25.395264887912401</v>
      </c>
      <c r="M372">
        <v>0.66578458722073097</v>
      </c>
      <c r="N372">
        <v>127.77058319465399</v>
      </c>
      <c r="O372" s="23">
        <v>9.9999999999999903E-8</v>
      </c>
      <c r="P372">
        <v>131.77058319465399</v>
      </c>
      <c r="R372" t="s">
        <v>209</v>
      </c>
      <c r="S372" t="s">
        <v>23</v>
      </c>
      <c r="T372">
        <v>11.312626768008601</v>
      </c>
      <c r="U372">
        <v>25.385211619768</v>
      </c>
      <c r="V372">
        <v>0.667671617299609</v>
      </c>
      <c r="W372">
        <v>127.75161067687</v>
      </c>
      <c r="X372">
        <v>0.98003467148400103</v>
      </c>
      <c r="Y372">
        <v>131.75161067687</v>
      </c>
      <c r="AA372" t="str">
        <f t="shared" si="10"/>
        <v xml:space="preserve">P &amp; OU </v>
      </c>
      <c r="AC372">
        <f t="shared" si="11"/>
        <v>0.52450507261048396</v>
      </c>
    </row>
    <row r="373" spans="1:29" x14ac:dyDescent="0.2">
      <c r="A373" t="s">
        <v>209</v>
      </c>
      <c r="B373" t="s">
        <v>220</v>
      </c>
      <c r="C373">
        <v>7.1530833182677403E-2</v>
      </c>
      <c r="D373">
        <v>0.143547604201165</v>
      </c>
      <c r="E373">
        <v>0.63167637862655202</v>
      </c>
      <c r="F373">
        <v>131.05026963601</v>
      </c>
      <c r="G373">
        <v>135.05026963601</v>
      </c>
      <c r="I373" t="s">
        <v>209</v>
      </c>
      <c r="J373" t="s">
        <v>220</v>
      </c>
      <c r="K373">
        <v>8.5597330356134801E-2</v>
      </c>
      <c r="L373">
        <v>0.11913634051413299</v>
      </c>
      <c r="M373">
        <v>0.49290736070306901</v>
      </c>
      <c r="N373">
        <v>127.393460271018</v>
      </c>
      <c r="O373" s="23">
        <v>9.9999999999999903E-8</v>
      </c>
      <c r="P373">
        <v>131.393460271018</v>
      </c>
      <c r="R373" t="s">
        <v>209</v>
      </c>
      <c r="S373" t="s">
        <v>220</v>
      </c>
      <c r="T373">
        <v>8.4953611368598497E-2</v>
      </c>
      <c r="U373">
        <v>0.119217832355043</v>
      </c>
      <c r="V373">
        <v>0.496353475026997</v>
      </c>
      <c r="W373">
        <v>127.383357014162</v>
      </c>
      <c r="X373">
        <v>1.0941050159677199</v>
      </c>
      <c r="Y373">
        <v>131.38335701416199</v>
      </c>
      <c r="AA373" t="str">
        <f t="shared" si="10"/>
        <v xml:space="preserve">P &amp; OU </v>
      </c>
      <c r="AC373">
        <f t="shared" si="11"/>
        <v>0.49290736070306901</v>
      </c>
    </row>
    <row r="374" spans="1:29" x14ac:dyDescent="0.2">
      <c r="A374" t="s">
        <v>210</v>
      </c>
      <c r="B374" t="s">
        <v>4</v>
      </c>
      <c r="C374">
        <v>0.46245895531760001</v>
      </c>
      <c r="D374">
        <v>0.30718748214095998</v>
      </c>
      <c r="E374">
        <v>0.170623519134351</v>
      </c>
      <c r="F374">
        <v>21.682183279530499</v>
      </c>
      <c r="G374">
        <v>25.682183279530499</v>
      </c>
      <c r="I374" t="s">
        <v>210</v>
      </c>
      <c r="J374" t="s">
        <v>4</v>
      </c>
      <c r="K374">
        <v>0.35256048336298901</v>
      </c>
      <c r="L374">
        <v>0.25207351793688998</v>
      </c>
      <c r="M374">
        <v>0.199471634309311</v>
      </c>
      <c r="N374">
        <v>15.1067098732176</v>
      </c>
      <c r="O374" s="23">
        <v>9.9999999999999903E-8</v>
      </c>
      <c r="P374">
        <v>19.1067098732176</v>
      </c>
      <c r="R374" t="s">
        <v>210</v>
      </c>
      <c r="S374" t="s">
        <v>4</v>
      </c>
      <c r="T374">
        <v>0.35256095515943298</v>
      </c>
      <c r="U374">
        <v>0.25207450009115401</v>
      </c>
      <c r="V374">
        <v>0.19947266828540999</v>
      </c>
      <c r="W374">
        <v>15.106774503401301</v>
      </c>
      <c r="X374">
        <v>4.23336542499095</v>
      </c>
      <c r="Y374">
        <v>19.106774503401301</v>
      </c>
      <c r="AA374" t="str">
        <f t="shared" si="10"/>
        <v xml:space="preserve">P &amp; OU </v>
      </c>
      <c r="AC374">
        <f t="shared" si="11"/>
        <v>0.170623519134351</v>
      </c>
    </row>
    <row r="375" spans="1:29" x14ac:dyDescent="0.2">
      <c r="A375" t="s">
        <v>210</v>
      </c>
      <c r="B375" t="s">
        <v>3</v>
      </c>
      <c r="C375">
        <v>-4.5313388426277301</v>
      </c>
      <c r="D375">
        <v>3.24049691139223</v>
      </c>
      <c r="E375">
        <v>0.19955678474563901</v>
      </c>
      <c r="F375">
        <v>21.989836629850299</v>
      </c>
      <c r="G375">
        <v>25.989836629850299</v>
      </c>
      <c r="I375" t="s">
        <v>210</v>
      </c>
      <c r="J375" t="s">
        <v>3</v>
      </c>
      <c r="K375">
        <v>-3.0185182533717798</v>
      </c>
      <c r="L375">
        <v>2.5169854680808501</v>
      </c>
      <c r="M375">
        <v>0.26473922181908599</v>
      </c>
      <c r="N375">
        <v>15.6409855454924</v>
      </c>
      <c r="O375" s="23">
        <v>9.9999999999999903E-8</v>
      </c>
      <c r="P375">
        <v>19.640985545492399</v>
      </c>
      <c r="R375" t="s">
        <v>210</v>
      </c>
      <c r="S375" t="s">
        <v>3</v>
      </c>
      <c r="T375">
        <v>-3.0185261872483098</v>
      </c>
      <c r="U375">
        <v>2.5169950608254501</v>
      </c>
      <c r="V375">
        <v>0.26473974316515497</v>
      </c>
      <c r="W375">
        <v>15.641043728149199</v>
      </c>
      <c r="X375">
        <v>4.23336542499095</v>
      </c>
      <c r="Y375">
        <v>19.641043728149199</v>
      </c>
      <c r="AA375" t="str">
        <f t="shared" si="10"/>
        <v xml:space="preserve">P &amp; OU </v>
      </c>
      <c r="AC375">
        <f t="shared" si="11"/>
        <v>0.19955678474563901</v>
      </c>
    </row>
    <row r="376" spans="1:29" x14ac:dyDescent="0.2">
      <c r="A376" t="s">
        <v>210</v>
      </c>
      <c r="B376" t="s">
        <v>211</v>
      </c>
      <c r="C376">
        <v>1.1677353010690601</v>
      </c>
      <c r="D376">
        <v>0.46447279291042798</v>
      </c>
      <c r="E376">
        <v>3.6138858433326301E-2</v>
      </c>
      <c r="F376">
        <v>18.353870024406799</v>
      </c>
      <c r="G376">
        <v>22.353870024406799</v>
      </c>
      <c r="I376" t="s">
        <v>210</v>
      </c>
      <c r="J376" t="s">
        <v>211</v>
      </c>
      <c r="K376">
        <v>1.1513200451435801</v>
      </c>
      <c r="L376">
        <v>0.66414287955544005</v>
      </c>
      <c r="M376">
        <v>0.12122792600113</v>
      </c>
      <c r="N376">
        <v>14.1050107271441</v>
      </c>
      <c r="O376" s="23">
        <v>9.9999999999999903E-8</v>
      </c>
      <c r="P376">
        <v>18.105010727144101</v>
      </c>
      <c r="R376" t="s">
        <v>210</v>
      </c>
      <c r="S376" t="s">
        <v>211</v>
      </c>
      <c r="T376">
        <v>1.1526918830672099</v>
      </c>
      <c r="U376">
        <v>0.65939427965281205</v>
      </c>
      <c r="V376">
        <v>0.118573710668676</v>
      </c>
      <c r="W376">
        <v>14.1033052237007</v>
      </c>
      <c r="X376">
        <v>1.53170914944051</v>
      </c>
      <c r="Y376">
        <v>18.103305223700701</v>
      </c>
      <c r="AA376" t="str">
        <f t="shared" si="10"/>
        <v xml:space="preserve">P &amp; OU </v>
      </c>
      <c r="AC376">
        <f t="shared" si="11"/>
        <v>3.6138858433326301E-2</v>
      </c>
    </row>
    <row r="377" spans="1:29" x14ac:dyDescent="0.2">
      <c r="A377" t="s">
        <v>210</v>
      </c>
      <c r="B377" t="s">
        <v>212</v>
      </c>
      <c r="C377">
        <v>-1.94462242300724</v>
      </c>
      <c r="D377">
        <v>1.36731433318052</v>
      </c>
      <c r="E377">
        <v>0.19275838642092299</v>
      </c>
      <c r="F377">
        <v>21.9224255467342</v>
      </c>
      <c r="G377">
        <v>25.9224255467342</v>
      </c>
      <c r="I377" t="s">
        <v>210</v>
      </c>
      <c r="J377" t="s">
        <v>212</v>
      </c>
      <c r="K377">
        <v>-1.2065560828826301</v>
      </c>
      <c r="L377">
        <v>1.12415615680864</v>
      </c>
      <c r="M377">
        <v>0.31444176803798701</v>
      </c>
      <c r="N377">
        <v>15.948969416783299</v>
      </c>
      <c r="O377" s="23">
        <v>9.9999999999999903E-8</v>
      </c>
      <c r="P377">
        <v>19.948969416783299</v>
      </c>
      <c r="R377" t="s">
        <v>210</v>
      </c>
      <c r="S377" t="s">
        <v>212</v>
      </c>
      <c r="T377">
        <v>-1.2065614672151199</v>
      </c>
      <c r="U377">
        <v>1.12415885916729</v>
      </c>
      <c r="V377">
        <v>0.31444083522050598</v>
      </c>
      <c r="W377">
        <v>15.949018812150999</v>
      </c>
      <c r="X377">
        <v>4.23336542499095</v>
      </c>
      <c r="Y377">
        <v>19.949018812150999</v>
      </c>
      <c r="AA377" t="str">
        <f t="shared" si="10"/>
        <v xml:space="preserve">P &amp; OU </v>
      </c>
      <c r="AC377">
        <f t="shared" si="11"/>
        <v>0.19275838642092299</v>
      </c>
    </row>
    <row r="378" spans="1:29" x14ac:dyDescent="0.2">
      <c r="A378" t="s">
        <v>210</v>
      </c>
      <c r="B378" t="s">
        <v>213</v>
      </c>
      <c r="C378">
        <v>2.3289487182241899</v>
      </c>
      <c r="D378">
        <v>1.08406188212234</v>
      </c>
      <c r="E378">
        <v>6.3939012698630102E-2</v>
      </c>
      <c r="F378">
        <v>19.621759007621399</v>
      </c>
      <c r="G378">
        <v>23.621759007621399</v>
      </c>
      <c r="I378" t="s">
        <v>210</v>
      </c>
      <c r="J378" t="s">
        <v>213</v>
      </c>
      <c r="K378">
        <v>0.84260288161298602</v>
      </c>
      <c r="L378">
        <v>0.98541992452683003</v>
      </c>
      <c r="M378">
        <v>0.417383208925316</v>
      </c>
      <c r="N378">
        <v>16.4196980594952</v>
      </c>
      <c r="O378" s="23">
        <v>9.9999999999999903E-8</v>
      </c>
      <c r="P378">
        <v>20.4196980594952</v>
      </c>
      <c r="R378" t="s">
        <v>210</v>
      </c>
      <c r="S378" t="s">
        <v>213</v>
      </c>
      <c r="T378">
        <v>0.84262255896246097</v>
      </c>
      <c r="U378">
        <v>0.98542655130818202</v>
      </c>
      <c r="V378">
        <v>0.41737579019612497</v>
      </c>
      <c r="W378">
        <v>16.419724788497401</v>
      </c>
      <c r="X378">
        <v>4.23336542499095</v>
      </c>
      <c r="Y378">
        <v>20.419724788497401</v>
      </c>
      <c r="AA378" t="str">
        <f t="shared" si="10"/>
        <v xml:space="preserve">P &amp; OU </v>
      </c>
      <c r="AC378">
        <f t="shared" si="11"/>
        <v>6.3939012698630102E-2</v>
      </c>
    </row>
    <row r="379" spans="1:29" x14ac:dyDescent="0.2">
      <c r="A379" t="s">
        <v>210</v>
      </c>
      <c r="B379" t="s">
        <v>214</v>
      </c>
      <c r="C379">
        <v>6.3066134272138502E-3</v>
      </c>
      <c r="D379">
        <v>2.6107997521386799E-3</v>
      </c>
      <c r="E379">
        <v>4.2139251922307601E-2</v>
      </c>
      <c r="F379">
        <v>18.698902555000601</v>
      </c>
      <c r="G379">
        <v>22.698902555000601</v>
      </c>
      <c r="I379" t="s">
        <v>210</v>
      </c>
      <c r="J379" t="s">
        <v>214</v>
      </c>
      <c r="K379">
        <v>3.2113546060453901E-3</v>
      </c>
      <c r="L379">
        <v>2.6786299587265201E-3</v>
      </c>
      <c r="M379">
        <v>0.26487883801658002</v>
      </c>
      <c r="N379">
        <v>15.641950583834401</v>
      </c>
      <c r="O379" s="23">
        <v>9.9999999999999903E-8</v>
      </c>
      <c r="P379">
        <v>19.641950583834401</v>
      </c>
      <c r="R379" t="s">
        <v>210</v>
      </c>
      <c r="S379" t="s">
        <v>214</v>
      </c>
      <c r="T379">
        <v>3.2114159507800198E-3</v>
      </c>
      <c r="U379">
        <v>2.6786425466605E-3</v>
      </c>
      <c r="V379">
        <v>0.26487248888359499</v>
      </c>
      <c r="W379">
        <v>15.6419612897206</v>
      </c>
      <c r="X379">
        <v>4.23336542499095</v>
      </c>
      <c r="Y379">
        <v>19.641961289720602</v>
      </c>
      <c r="AA379" t="str">
        <f t="shared" si="10"/>
        <v xml:space="preserve">P &amp; OU </v>
      </c>
      <c r="AC379">
        <f t="shared" si="11"/>
        <v>4.2139251922307601E-2</v>
      </c>
    </row>
    <row r="380" spans="1:29" x14ac:dyDescent="0.2">
      <c r="A380" t="s">
        <v>210</v>
      </c>
      <c r="B380" t="s">
        <v>215</v>
      </c>
      <c r="C380">
        <v>-1.44217201038354</v>
      </c>
      <c r="D380">
        <v>0.36942153238289399</v>
      </c>
      <c r="E380">
        <v>4.5199520307584598E-3</v>
      </c>
      <c r="F380">
        <v>13.5121407694576</v>
      </c>
      <c r="G380">
        <v>17.512140769457599</v>
      </c>
      <c r="I380" t="s">
        <v>210</v>
      </c>
      <c r="J380" t="s">
        <v>215</v>
      </c>
      <c r="K380">
        <v>-1.08996838375371</v>
      </c>
      <c r="L380">
        <v>0.31155159578563002</v>
      </c>
      <c r="M380">
        <v>8.09666951227434E-3</v>
      </c>
      <c r="N380">
        <v>11.2364676172814</v>
      </c>
      <c r="O380">
        <v>0.51551298934203804</v>
      </c>
      <c r="P380">
        <v>15.2364676172814</v>
      </c>
      <c r="R380" t="s">
        <v>210</v>
      </c>
      <c r="S380" t="s">
        <v>215</v>
      </c>
      <c r="T380">
        <v>-0.67618186378887701</v>
      </c>
      <c r="U380">
        <v>0.28795921321541901</v>
      </c>
      <c r="V380">
        <v>4.6813614033881498E-2</v>
      </c>
      <c r="W380">
        <v>12.051471167652601</v>
      </c>
      <c r="X380">
        <v>4.23336542499095</v>
      </c>
      <c r="Y380">
        <v>16.051471167652601</v>
      </c>
      <c r="AA380" t="str">
        <f t="shared" si="10"/>
        <v xml:space="preserve">P </v>
      </c>
      <c r="AC380">
        <f t="shared" si="11"/>
        <v>4.5199520307584598E-3</v>
      </c>
    </row>
    <row r="381" spans="1:29" x14ac:dyDescent="0.2">
      <c r="A381" t="s">
        <v>210</v>
      </c>
      <c r="B381" t="s">
        <v>25</v>
      </c>
      <c r="C381">
        <v>2.2063654017634399E-3</v>
      </c>
      <c r="D381">
        <v>1.4198385979316999E-3</v>
      </c>
      <c r="E381">
        <v>0.158801198191515</v>
      </c>
      <c r="F381">
        <v>21.538705724455301</v>
      </c>
      <c r="G381">
        <v>25.538705724455301</v>
      </c>
      <c r="I381" t="s">
        <v>210</v>
      </c>
      <c r="J381" t="s">
        <v>25</v>
      </c>
      <c r="K381">
        <v>7.42487553208937E-4</v>
      </c>
      <c r="L381">
        <v>1.5032369955780801E-3</v>
      </c>
      <c r="M381">
        <v>0.63463311741908102</v>
      </c>
      <c r="N381">
        <v>16.993851244265802</v>
      </c>
      <c r="O381" s="23">
        <v>9.9999999999999903E-8</v>
      </c>
      <c r="P381">
        <v>20.993851244265802</v>
      </c>
      <c r="R381" t="s">
        <v>210</v>
      </c>
      <c r="S381" t="s">
        <v>25</v>
      </c>
      <c r="T381">
        <v>7.42513049478144E-4</v>
      </c>
      <c r="U381">
        <v>1.50323278227302E-3</v>
      </c>
      <c r="V381">
        <v>0.63462072318353402</v>
      </c>
      <c r="W381">
        <v>16.9938838390452</v>
      </c>
      <c r="X381">
        <v>4.23336542499095</v>
      </c>
      <c r="Y381">
        <v>20.9938838390452</v>
      </c>
      <c r="AA381" t="str">
        <f t="shared" si="10"/>
        <v xml:space="preserve">P &amp; OU </v>
      </c>
      <c r="AC381">
        <f t="shared" si="11"/>
        <v>0.158801198191515</v>
      </c>
    </row>
    <row r="382" spans="1:29" x14ac:dyDescent="0.2">
      <c r="A382" t="s">
        <v>210</v>
      </c>
      <c r="B382" t="s">
        <v>24</v>
      </c>
      <c r="C382">
        <v>1.5455975139996301</v>
      </c>
      <c r="D382">
        <v>0.62487508070182696</v>
      </c>
      <c r="E382">
        <v>3.8502775075331001E-2</v>
      </c>
      <c r="F382">
        <v>18.496486545558898</v>
      </c>
      <c r="G382">
        <v>22.496486545558898</v>
      </c>
      <c r="I382" t="s">
        <v>210</v>
      </c>
      <c r="J382" t="s">
        <v>24</v>
      </c>
      <c r="K382">
        <v>1.07728280663391</v>
      </c>
      <c r="L382">
        <v>0.41804633179567202</v>
      </c>
      <c r="M382">
        <v>3.2771597037407701E-2</v>
      </c>
      <c r="N382">
        <v>11.250643238637601</v>
      </c>
      <c r="O382" s="23">
        <v>9.9999999999999903E-8</v>
      </c>
      <c r="P382">
        <v>15.250643238637601</v>
      </c>
      <c r="R382" t="s">
        <v>210</v>
      </c>
      <c r="S382" t="s">
        <v>24</v>
      </c>
      <c r="T382">
        <v>1.07728513925583</v>
      </c>
      <c r="U382">
        <v>0.41804805320677602</v>
      </c>
      <c r="V382">
        <v>3.2771853471504603E-2</v>
      </c>
      <c r="W382">
        <v>11.250715528329399</v>
      </c>
      <c r="X382">
        <v>4.23336542499095</v>
      </c>
      <c r="Y382">
        <v>15.250715528329399</v>
      </c>
      <c r="AA382" t="str">
        <f t="shared" si="10"/>
        <v xml:space="preserve">P &amp; OU </v>
      </c>
      <c r="AC382">
        <f t="shared" si="11"/>
        <v>3.2771597037407701E-2</v>
      </c>
    </row>
    <row r="383" spans="1:29" x14ac:dyDescent="0.2">
      <c r="A383" t="s">
        <v>210</v>
      </c>
      <c r="B383" t="s">
        <v>23</v>
      </c>
      <c r="C383">
        <v>-0.15143127478742399</v>
      </c>
      <c r="D383">
        <v>0.13349330593884201</v>
      </c>
      <c r="E383">
        <v>0.28948237695609202</v>
      </c>
      <c r="F383">
        <v>22.685017800743601</v>
      </c>
      <c r="G383">
        <v>26.685017800743601</v>
      </c>
      <c r="I383" t="s">
        <v>210</v>
      </c>
      <c r="J383" t="s">
        <v>23</v>
      </c>
      <c r="K383">
        <v>-0.14893551341549499</v>
      </c>
      <c r="L383">
        <v>8.6588009086772694E-2</v>
      </c>
      <c r="M383">
        <v>0.12373662705796901</v>
      </c>
      <c r="N383">
        <v>14.1474497724142</v>
      </c>
      <c r="O383" s="23">
        <v>9.9999999999999903E-8</v>
      </c>
      <c r="P383">
        <v>18.147449772414198</v>
      </c>
      <c r="R383" t="s">
        <v>210</v>
      </c>
      <c r="S383" t="s">
        <v>23</v>
      </c>
      <c r="T383">
        <v>-0.14893499616889</v>
      </c>
      <c r="U383">
        <v>8.6588445355226598E-2</v>
      </c>
      <c r="V383">
        <v>0.12373937470002901</v>
      </c>
      <c r="W383">
        <v>14.1475503076768</v>
      </c>
      <c r="X383">
        <v>4.23336542499095</v>
      </c>
      <c r="Y383">
        <v>18.147550307676799</v>
      </c>
      <c r="AA383" t="str">
        <f t="shared" si="10"/>
        <v xml:space="preserve">P &amp; OU </v>
      </c>
      <c r="AC383">
        <f t="shared" si="11"/>
        <v>0.12373662705796901</v>
      </c>
    </row>
    <row r="384" spans="1:29" x14ac:dyDescent="0.2">
      <c r="A384" t="s">
        <v>210</v>
      </c>
      <c r="B384" t="s">
        <v>220</v>
      </c>
      <c r="C384">
        <v>1.5605310737376399E-3</v>
      </c>
      <c r="D384">
        <v>4.0749896628374302E-4</v>
      </c>
      <c r="E384">
        <v>5.0212382230952297E-3</v>
      </c>
      <c r="F384">
        <v>13.762597639766099</v>
      </c>
      <c r="G384">
        <v>17.762597639766099</v>
      </c>
      <c r="I384" t="s">
        <v>210</v>
      </c>
      <c r="J384" t="s">
        <v>220</v>
      </c>
      <c r="K384">
        <v>9.9776546437586899E-4</v>
      </c>
      <c r="L384">
        <v>3.3207347429091601E-4</v>
      </c>
      <c r="M384">
        <v>1.6951069312987E-2</v>
      </c>
      <c r="N384">
        <v>9.7401086244479895</v>
      </c>
      <c r="O384" s="23">
        <v>9.9999999999999903E-8</v>
      </c>
      <c r="P384">
        <v>13.740108624448</v>
      </c>
      <c r="R384" t="s">
        <v>210</v>
      </c>
      <c r="S384" t="s">
        <v>220</v>
      </c>
      <c r="T384">
        <v>9.9776985865545091E-4</v>
      </c>
      <c r="U384">
        <v>3.3207409164032301E-4</v>
      </c>
      <c r="V384">
        <v>1.69508718138398E-2</v>
      </c>
      <c r="W384">
        <v>9.7401362155492901</v>
      </c>
      <c r="X384">
        <v>4.23336542499095</v>
      </c>
      <c r="Y384">
        <v>13.740136215549301</v>
      </c>
      <c r="AA384" t="str">
        <f t="shared" si="10"/>
        <v xml:space="preserve">P &amp; OU </v>
      </c>
      <c r="AC384">
        <f t="shared" si="11"/>
        <v>5.0212382230952297E-3</v>
      </c>
    </row>
    <row r="385" spans="1:29" x14ac:dyDescent="0.2">
      <c r="A385" t="s">
        <v>4</v>
      </c>
      <c r="B385" t="s">
        <v>3</v>
      </c>
      <c r="C385">
        <v>-10.2742433294809</v>
      </c>
      <c r="D385">
        <v>0.54178595016475595</v>
      </c>
      <c r="E385" s="23">
        <v>6.1863687385371E-8</v>
      </c>
      <c r="F385">
        <v>-13.7823827141458</v>
      </c>
      <c r="G385">
        <v>-9.7823827141458093</v>
      </c>
      <c r="I385" t="s">
        <v>4</v>
      </c>
      <c r="J385" t="s">
        <v>3</v>
      </c>
      <c r="K385">
        <v>-9.9217356570881794</v>
      </c>
      <c r="L385">
        <v>0.606039265789032</v>
      </c>
      <c r="M385" s="23">
        <v>1.9522176555374799E-7</v>
      </c>
      <c r="N385">
        <v>-12.085604447589899</v>
      </c>
      <c r="O385">
        <v>0.40348786357343402</v>
      </c>
      <c r="P385">
        <v>-8.0856044475899207</v>
      </c>
      <c r="R385" t="s">
        <v>4</v>
      </c>
      <c r="S385" t="s">
        <v>3</v>
      </c>
      <c r="T385">
        <v>-10.0894081053964</v>
      </c>
      <c r="U385">
        <v>0.58852454185050995</v>
      </c>
      <c r="V385" s="23">
        <v>1.3627345335438701E-7</v>
      </c>
      <c r="W385">
        <v>-12.399346191621801</v>
      </c>
      <c r="X385">
        <v>0.122313563200214</v>
      </c>
      <c r="Y385">
        <v>-8.3993461916218504</v>
      </c>
      <c r="AA385" t="str">
        <f t="shared" si="10"/>
        <v xml:space="preserve"> </v>
      </c>
      <c r="AC385">
        <f t="shared" si="11"/>
        <v>6.1863687385371E-8</v>
      </c>
    </row>
    <row r="386" spans="1:29" x14ac:dyDescent="0.2">
      <c r="A386" t="s">
        <v>4</v>
      </c>
      <c r="B386" t="s">
        <v>211</v>
      </c>
      <c r="C386">
        <v>-5.62458938705344E-2</v>
      </c>
      <c r="D386">
        <v>0.63105854856571897</v>
      </c>
      <c r="E386">
        <v>0.93116997482975905</v>
      </c>
      <c r="F386">
        <v>24.483783254414199</v>
      </c>
      <c r="G386">
        <v>28.483783254414199</v>
      </c>
      <c r="I386" t="s">
        <v>4</v>
      </c>
      <c r="J386" t="s">
        <v>211</v>
      </c>
      <c r="K386">
        <v>-9.6784307744663095E-2</v>
      </c>
      <c r="L386">
        <v>0.97875878717470199</v>
      </c>
      <c r="M386">
        <v>0.92366266807124997</v>
      </c>
      <c r="N386">
        <v>21.860769103925701</v>
      </c>
      <c r="O386" s="23">
        <v>9.9999999999999903E-8</v>
      </c>
      <c r="P386">
        <v>25.860769103925701</v>
      </c>
      <c r="R386" t="s">
        <v>4</v>
      </c>
      <c r="S386" t="s">
        <v>211</v>
      </c>
      <c r="T386">
        <v>-7.2496332361966495E-2</v>
      </c>
      <c r="U386">
        <v>0.91359130271989197</v>
      </c>
      <c r="V386">
        <v>0.93870080785594701</v>
      </c>
      <c r="W386">
        <v>21.806374631527198</v>
      </c>
      <c r="X386">
        <v>0.68774946201758302</v>
      </c>
      <c r="Y386">
        <v>25.806374631527198</v>
      </c>
      <c r="AA386" t="str">
        <f t="shared" si="10"/>
        <v xml:space="preserve">P &amp; OU </v>
      </c>
      <c r="AC386">
        <f t="shared" si="11"/>
        <v>0.92366266807124997</v>
      </c>
    </row>
    <row r="387" spans="1:29" x14ac:dyDescent="0.2">
      <c r="A387" t="s">
        <v>4</v>
      </c>
      <c r="B387" t="s">
        <v>212</v>
      </c>
      <c r="C387">
        <v>-0.80398964617324298</v>
      </c>
      <c r="D387">
        <v>1.5286990474222999</v>
      </c>
      <c r="E387">
        <v>0.61319959444399097</v>
      </c>
      <c r="F387">
        <v>24.153797602379701</v>
      </c>
      <c r="G387">
        <v>28.153797602379701</v>
      </c>
      <c r="I387" t="s">
        <v>4</v>
      </c>
      <c r="J387" t="s">
        <v>212</v>
      </c>
      <c r="K387">
        <v>7.6309038263389101E-3</v>
      </c>
      <c r="L387">
        <v>1.5116954370370499</v>
      </c>
      <c r="M387">
        <v>0.99609597427107599</v>
      </c>
      <c r="N387">
        <v>21.872952528177201</v>
      </c>
      <c r="O387" s="23">
        <v>9.9999999999999903E-8</v>
      </c>
      <c r="P387">
        <v>25.872952528177201</v>
      </c>
      <c r="R387" t="s">
        <v>4</v>
      </c>
      <c r="S387" t="s">
        <v>212</v>
      </c>
      <c r="T387">
        <v>-3.4668276733469797E-2</v>
      </c>
      <c r="U387">
        <v>1.50686502377146</v>
      </c>
      <c r="V387">
        <v>0.98220828265044002</v>
      </c>
      <c r="W387">
        <v>21.813598708925699</v>
      </c>
      <c r="X387">
        <v>0.67373424540604099</v>
      </c>
      <c r="Y387">
        <v>25.813598708925699</v>
      </c>
      <c r="AA387" t="str">
        <f t="shared" si="10"/>
        <v xml:space="preserve">P &amp; OU </v>
      </c>
      <c r="AC387">
        <f t="shared" si="11"/>
        <v>0.61319959444399097</v>
      </c>
    </row>
    <row r="388" spans="1:29" x14ac:dyDescent="0.2">
      <c r="A388" t="s">
        <v>4</v>
      </c>
      <c r="B388" t="s">
        <v>213</v>
      </c>
      <c r="C388">
        <v>-0.42655694356976598</v>
      </c>
      <c r="D388">
        <v>1.3748326281499601</v>
      </c>
      <c r="E388">
        <v>0.76429131504127601</v>
      </c>
      <c r="F388">
        <v>24.3740992178376</v>
      </c>
      <c r="G388">
        <v>28.3740992178376</v>
      </c>
      <c r="I388" t="s">
        <v>4</v>
      </c>
      <c r="J388" t="s">
        <v>213</v>
      </c>
      <c r="K388">
        <v>-0.95615436414199595</v>
      </c>
      <c r="L388">
        <v>1.2493825299285</v>
      </c>
      <c r="M388">
        <v>0.46606738949719401</v>
      </c>
      <c r="N388">
        <v>21.166435310542699</v>
      </c>
      <c r="O388" s="23">
        <v>9.9999999999999903E-8</v>
      </c>
      <c r="P388">
        <v>25.166435310542699</v>
      </c>
      <c r="R388" t="s">
        <v>4</v>
      </c>
      <c r="S388" t="s">
        <v>213</v>
      </c>
      <c r="T388">
        <v>-0.95614957842951598</v>
      </c>
      <c r="U388">
        <v>1.2493893213598299</v>
      </c>
      <c r="V388">
        <v>0.46607188619817302</v>
      </c>
      <c r="W388">
        <v>21.166436259708799</v>
      </c>
      <c r="X388">
        <v>4.23336542499095</v>
      </c>
      <c r="Y388">
        <v>25.166436259708799</v>
      </c>
      <c r="AA388" t="str">
        <f t="shared" si="10"/>
        <v xml:space="preserve">P &amp; OU </v>
      </c>
      <c r="AC388">
        <f t="shared" si="11"/>
        <v>0.46606738949719401</v>
      </c>
    </row>
    <row r="389" spans="1:29" x14ac:dyDescent="0.2">
      <c r="A389" t="s">
        <v>4</v>
      </c>
      <c r="B389" t="s">
        <v>214</v>
      </c>
      <c r="C389">
        <v>4.8006024616807402E-4</v>
      </c>
      <c r="D389">
        <v>3.48410687268965E-3</v>
      </c>
      <c r="E389">
        <v>0.89381462802528</v>
      </c>
      <c r="F389">
        <v>24.470005374237299</v>
      </c>
      <c r="G389">
        <v>28.470005374237299</v>
      </c>
      <c r="I389" t="s">
        <v>4</v>
      </c>
      <c r="J389" t="s">
        <v>214</v>
      </c>
      <c r="K389">
        <v>-2.59374704312823E-4</v>
      </c>
      <c r="L389">
        <v>3.6566329972280401E-3</v>
      </c>
      <c r="M389">
        <v>0.94519252006651999</v>
      </c>
      <c r="N389">
        <v>21.866697054040898</v>
      </c>
      <c r="O389" s="23">
        <v>9.9999999999999903E-8</v>
      </c>
      <c r="P389">
        <v>25.866697054040898</v>
      </c>
      <c r="R389" t="s">
        <v>4</v>
      </c>
      <c r="S389" t="s">
        <v>214</v>
      </c>
      <c r="T389" s="23">
        <v>-3.90463154062715E-5</v>
      </c>
      <c r="U389">
        <v>3.7063456229757602E-3</v>
      </c>
      <c r="V389">
        <v>0.99185242863406697</v>
      </c>
      <c r="W389">
        <v>21.814088062593001</v>
      </c>
      <c r="X389">
        <v>0.68484021239383497</v>
      </c>
      <c r="Y389">
        <v>25.814088062593001</v>
      </c>
      <c r="AA389" t="str">
        <f t="shared" si="10"/>
        <v xml:space="preserve">P &amp; OU </v>
      </c>
      <c r="AC389">
        <f t="shared" si="11"/>
        <v>0.89381462802528</v>
      </c>
    </row>
    <row r="390" spans="1:29" x14ac:dyDescent="0.2">
      <c r="A390" t="s">
        <v>4</v>
      </c>
      <c r="B390" t="s">
        <v>215</v>
      </c>
      <c r="C390">
        <v>-1.2094559933309299</v>
      </c>
      <c r="D390">
        <v>0.47579656718854801</v>
      </c>
      <c r="E390">
        <v>3.4605013172974403E-2</v>
      </c>
      <c r="F390">
        <v>18.573181305503098</v>
      </c>
      <c r="G390">
        <v>22.573181305503098</v>
      </c>
      <c r="I390" t="s">
        <v>4</v>
      </c>
      <c r="J390" t="s">
        <v>215</v>
      </c>
      <c r="K390">
        <v>-0.80358462155051302</v>
      </c>
      <c r="L390">
        <v>0.37509307565674799</v>
      </c>
      <c r="M390">
        <v>6.4538696048375796E-2</v>
      </c>
      <c r="N390">
        <v>17.338602547920999</v>
      </c>
      <c r="O390" s="23">
        <v>9.9999999999999903E-8</v>
      </c>
      <c r="P390">
        <v>21.338602547920999</v>
      </c>
      <c r="R390" t="s">
        <v>4</v>
      </c>
      <c r="S390" t="s">
        <v>215</v>
      </c>
      <c r="T390">
        <v>-0.80358390872009999</v>
      </c>
      <c r="U390">
        <v>0.37509359512248203</v>
      </c>
      <c r="V390">
        <v>6.4539185299655605E-2</v>
      </c>
      <c r="W390">
        <v>17.338605817553798</v>
      </c>
      <c r="X390">
        <v>4.23336542499095</v>
      </c>
      <c r="Y390">
        <v>21.338605817553798</v>
      </c>
      <c r="AA390" t="str">
        <f t="shared" ref="AA390:AA453" si="12">IF(AND(G390-P390&lt;-2, G390-Y390&lt;-2), "BM", IF(OR(P390-G390&lt;-2, Y390-G390&lt;-2), IF(AND(P390-G390&lt;-2, Y390-G390&gt;-2), "P ", IF(AND(P390-G390&lt;-2, Y390-G390&lt;-2), "P &amp; OU ", "OU ")), " "))</f>
        <v xml:space="preserve"> </v>
      </c>
      <c r="AC390">
        <f t="shared" ref="AC390:AC439" si="13">MIN(E390,M390,V390)</f>
        <v>3.4605013172974403E-2</v>
      </c>
    </row>
    <row r="391" spans="1:29" x14ac:dyDescent="0.2">
      <c r="A391" t="s">
        <v>4</v>
      </c>
      <c r="B391" t="s">
        <v>25</v>
      </c>
      <c r="C391">
        <v>-5.1856905837179695E-4</v>
      </c>
      <c r="D391">
        <v>1.6356665373390799E-3</v>
      </c>
      <c r="E391">
        <v>0.75933021493274</v>
      </c>
      <c r="F391">
        <v>24.368849477412098</v>
      </c>
      <c r="G391">
        <v>28.368849477412098</v>
      </c>
      <c r="I391" t="s">
        <v>4</v>
      </c>
      <c r="J391" t="s">
        <v>25</v>
      </c>
      <c r="K391">
        <v>6.8503059149888101E-4</v>
      </c>
      <c r="L391">
        <v>1.90321642249602E-3</v>
      </c>
      <c r="M391">
        <v>0.72821410320447499</v>
      </c>
      <c r="N391">
        <v>21.712341820794101</v>
      </c>
      <c r="O391" s="23">
        <v>9.9999999999999903E-8</v>
      </c>
      <c r="P391">
        <v>25.712341820794101</v>
      </c>
      <c r="R391" t="s">
        <v>4</v>
      </c>
      <c r="S391" t="s">
        <v>25</v>
      </c>
      <c r="T391">
        <v>6.1803934872309296E-4</v>
      </c>
      <c r="U391">
        <v>1.8689355825583999E-3</v>
      </c>
      <c r="V391">
        <v>0.74937283011613198</v>
      </c>
      <c r="W391">
        <v>21.691019553667001</v>
      </c>
      <c r="X391">
        <v>0.88236961536927405</v>
      </c>
      <c r="Y391">
        <v>25.691019553667001</v>
      </c>
      <c r="AA391" t="str">
        <f t="shared" si="12"/>
        <v xml:space="preserve">P &amp; OU </v>
      </c>
      <c r="AC391">
        <f t="shared" si="13"/>
        <v>0.72821410320447499</v>
      </c>
    </row>
    <row r="392" spans="1:29" x14ac:dyDescent="0.2">
      <c r="A392" t="s">
        <v>4</v>
      </c>
      <c r="B392" t="s">
        <v>24</v>
      </c>
      <c r="C392">
        <v>1.4286013775188</v>
      </c>
      <c r="D392">
        <v>0.675403800145574</v>
      </c>
      <c r="E392">
        <v>6.7328268899898305E-2</v>
      </c>
      <c r="F392">
        <v>20.051666056843398</v>
      </c>
      <c r="G392">
        <v>24.051666056843398</v>
      </c>
      <c r="I392" t="s">
        <v>4</v>
      </c>
      <c r="J392" t="s">
        <v>24</v>
      </c>
      <c r="K392">
        <v>0.91505936169312796</v>
      </c>
      <c r="L392">
        <v>0.63316001105854802</v>
      </c>
      <c r="M392">
        <v>0.18640033567200301</v>
      </c>
      <c r="N392">
        <v>19.5532613243269</v>
      </c>
      <c r="O392" s="23">
        <v>9.9999999999999903E-8</v>
      </c>
      <c r="P392">
        <v>23.5532613243269</v>
      </c>
      <c r="R392" t="s">
        <v>4</v>
      </c>
      <c r="S392" t="s">
        <v>24</v>
      </c>
      <c r="T392">
        <v>0.92225834282991304</v>
      </c>
      <c r="U392">
        <v>0.63439170411275303</v>
      </c>
      <c r="V392">
        <v>0.18408712099664001</v>
      </c>
      <c r="W392">
        <v>19.4861499922457</v>
      </c>
      <c r="X392">
        <v>0.55405596413411495</v>
      </c>
      <c r="Y392">
        <v>23.4861499922457</v>
      </c>
      <c r="AA392" t="str">
        <f t="shared" si="12"/>
        <v xml:space="preserve"> </v>
      </c>
      <c r="AC392">
        <f t="shared" si="13"/>
        <v>6.7328268899898305E-2</v>
      </c>
    </row>
    <row r="393" spans="1:29" x14ac:dyDescent="0.2">
      <c r="A393" t="s">
        <v>4</v>
      </c>
      <c r="B393" t="s">
        <v>23</v>
      </c>
      <c r="C393">
        <v>-0.21319718998980799</v>
      </c>
      <c r="D393">
        <v>0.12518740588812499</v>
      </c>
      <c r="E393">
        <v>0.12697025704520001</v>
      </c>
      <c r="F393">
        <v>21.400228357853599</v>
      </c>
      <c r="G393">
        <v>25.400228357853599</v>
      </c>
      <c r="I393" t="s">
        <v>4</v>
      </c>
      <c r="J393" t="s">
        <v>23</v>
      </c>
      <c r="K393">
        <v>-0.11958941512488</v>
      </c>
      <c r="L393">
        <v>0.120193629093749</v>
      </c>
      <c r="M393">
        <v>0.348887629892705</v>
      </c>
      <c r="N393">
        <v>20.7063032797811</v>
      </c>
      <c r="O393" s="23">
        <v>9.9999999999999903E-8</v>
      </c>
      <c r="P393">
        <v>24.7063032797811</v>
      </c>
      <c r="R393" t="s">
        <v>4</v>
      </c>
      <c r="S393" t="s">
        <v>23</v>
      </c>
      <c r="T393">
        <v>-0.12986466609887901</v>
      </c>
      <c r="U393">
        <v>0.119346784670693</v>
      </c>
      <c r="V393">
        <v>0.30823008950925601</v>
      </c>
      <c r="W393">
        <v>20.495306822278501</v>
      </c>
      <c r="X393">
        <v>0.47230678130921</v>
      </c>
      <c r="Y393">
        <v>24.495306822278501</v>
      </c>
      <c r="AA393" t="str">
        <f t="shared" si="12"/>
        <v xml:space="preserve"> </v>
      </c>
      <c r="AC393">
        <f t="shared" si="13"/>
        <v>0.12697025704520001</v>
      </c>
    </row>
    <row r="394" spans="1:29" x14ac:dyDescent="0.2">
      <c r="A394" t="s">
        <v>4</v>
      </c>
      <c r="B394" t="s">
        <v>220</v>
      </c>
      <c r="C394">
        <v>1.23193518049474E-3</v>
      </c>
      <c r="D394">
        <v>5.4398065876829404E-4</v>
      </c>
      <c r="E394">
        <v>5.3332474113126097E-2</v>
      </c>
      <c r="F394">
        <v>19.540103570535098</v>
      </c>
      <c r="G394">
        <v>23.540103570535098</v>
      </c>
      <c r="I394" t="s">
        <v>4</v>
      </c>
      <c r="J394" t="s">
        <v>220</v>
      </c>
      <c r="K394">
        <v>9.2856866962937002E-4</v>
      </c>
      <c r="L394">
        <v>5.1306518566428098E-4</v>
      </c>
      <c r="M394">
        <v>0.107916142246072</v>
      </c>
      <c r="N394">
        <v>18.4410416671167</v>
      </c>
      <c r="O394" s="23">
        <v>9.9999999999999903E-8</v>
      </c>
      <c r="P394">
        <v>22.4410416671167</v>
      </c>
      <c r="R394" t="s">
        <v>4</v>
      </c>
      <c r="S394" t="s">
        <v>220</v>
      </c>
      <c r="T394">
        <v>9.2856672897409704E-4</v>
      </c>
      <c r="U394">
        <v>5.1306549072691803E-4</v>
      </c>
      <c r="V394">
        <v>0.10791694429535301</v>
      </c>
      <c r="W394">
        <v>18.441043968523399</v>
      </c>
      <c r="X394">
        <v>4.23336542499095</v>
      </c>
      <c r="Y394">
        <v>22.441043968523399</v>
      </c>
      <c r="AA394" t="str">
        <f t="shared" si="12"/>
        <v xml:space="preserve"> </v>
      </c>
      <c r="AC394">
        <f t="shared" si="13"/>
        <v>5.3332474113126097E-2</v>
      </c>
    </row>
    <row r="395" spans="1:29" x14ac:dyDescent="0.2">
      <c r="A395" t="s">
        <v>3</v>
      </c>
      <c r="B395" t="s">
        <v>211</v>
      </c>
      <c r="C395">
        <v>1.75271174706845E-3</v>
      </c>
      <c r="D395">
        <v>6.0776419752017599E-2</v>
      </c>
      <c r="E395">
        <v>0.97769969843260396</v>
      </c>
      <c r="F395">
        <v>-22.320152034941401</v>
      </c>
      <c r="G395">
        <v>-18.320152034941401</v>
      </c>
      <c r="I395" t="s">
        <v>3</v>
      </c>
      <c r="J395" t="s">
        <v>211</v>
      </c>
      <c r="K395">
        <v>9.7120350194170903E-3</v>
      </c>
      <c r="L395">
        <v>0.100678475723865</v>
      </c>
      <c r="M395">
        <v>0.92552342321173298</v>
      </c>
      <c r="N395">
        <v>-23.626294029342301</v>
      </c>
      <c r="O395" s="23">
        <v>2.0976377707171601E-7</v>
      </c>
      <c r="P395">
        <v>-19.626294029342301</v>
      </c>
      <c r="R395" t="s">
        <v>3</v>
      </c>
      <c r="S395" t="s">
        <v>211</v>
      </c>
      <c r="T395">
        <v>3.8286537855682901E-3</v>
      </c>
      <c r="U395">
        <v>8.5966241054938705E-2</v>
      </c>
      <c r="V395">
        <v>0.96556819859895704</v>
      </c>
      <c r="W395">
        <v>-23.8428310847783</v>
      </c>
      <c r="X395">
        <v>0.42908762358848601</v>
      </c>
      <c r="Y395">
        <v>-19.8428310847783</v>
      </c>
      <c r="AA395" t="str">
        <f t="shared" si="12"/>
        <v xml:space="preserve"> </v>
      </c>
      <c r="AC395">
        <f t="shared" si="13"/>
        <v>0.92552342321173298</v>
      </c>
    </row>
    <row r="396" spans="1:29" x14ac:dyDescent="0.2">
      <c r="A396" t="s">
        <v>3</v>
      </c>
      <c r="B396" t="s">
        <v>212</v>
      </c>
      <c r="C396">
        <v>9.6706532147201194E-2</v>
      </c>
      <c r="D396">
        <v>0.14572680154311701</v>
      </c>
      <c r="E396">
        <v>0.52559471145791303</v>
      </c>
      <c r="F396">
        <v>-22.854976605623399</v>
      </c>
      <c r="G396">
        <v>-18.854976605623399</v>
      </c>
      <c r="I396" t="s">
        <v>3</v>
      </c>
      <c r="J396" t="s">
        <v>212</v>
      </c>
      <c r="K396">
        <v>1.3413766488682199E-2</v>
      </c>
      <c r="L396">
        <v>0.15529567992388901</v>
      </c>
      <c r="M396">
        <v>0.93329054170116299</v>
      </c>
      <c r="N396">
        <v>-23.623655503534099</v>
      </c>
      <c r="O396">
        <v>2.8334217509511802E-3</v>
      </c>
      <c r="P396">
        <v>-19.623655503534099</v>
      </c>
      <c r="R396" t="s">
        <v>3</v>
      </c>
      <c r="S396" t="s">
        <v>212</v>
      </c>
      <c r="T396">
        <v>3.65670860519174E-2</v>
      </c>
      <c r="U396">
        <v>0.15176920089850099</v>
      </c>
      <c r="V396">
        <v>0.81566266870778603</v>
      </c>
      <c r="W396">
        <v>-23.9029458859846</v>
      </c>
      <c r="X396">
        <v>0.38031435260093899</v>
      </c>
      <c r="Y396">
        <v>-19.9029458859846</v>
      </c>
      <c r="AA396" t="str">
        <f t="shared" si="12"/>
        <v xml:space="preserve"> </v>
      </c>
      <c r="AC396">
        <f t="shared" si="13"/>
        <v>0.52559471145791303</v>
      </c>
    </row>
    <row r="397" spans="1:29" x14ac:dyDescent="0.2">
      <c r="A397" t="s">
        <v>3</v>
      </c>
      <c r="B397" t="s">
        <v>213</v>
      </c>
      <c r="C397">
        <v>3.1083825548524801E-2</v>
      </c>
      <c r="D397">
        <v>0.132689063691282</v>
      </c>
      <c r="E397">
        <v>0.82066663982545496</v>
      </c>
      <c r="F397">
        <v>-22.387475853134902</v>
      </c>
      <c r="G397">
        <v>-18.387475853134902</v>
      </c>
      <c r="I397" t="s">
        <v>3</v>
      </c>
      <c r="J397" t="s">
        <v>213</v>
      </c>
      <c r="K397">
        <v>0.114803776281572</v>
      </c>
      <c r="L397">
        <v>0.126794870873495</v>
      </c>
      <c r="M397">
        <v>0.39169047982786498</v>
      </c>
      <c r="N397">
        <v>-24.590247520103102</v>
      </c>
      <c r="O397" s="23">
        <v>9.9999999999999903E-8</v>
      </c>
      <c r="P397">
        <v>-20.590247520103102</v>
      </c>
      <c r="R397" t="s">
        <v>3</v>
      </c>
      <c r="S397" t="s">
        <v>213</v>
      </c>
      <c r="T397">
        <v>0.114803101425395</v>
      </c>
      <c r="U397">
        <v>0.12679557438435801</v>
      </c>
      <c r="V397">
        <v>0.39169563829406701</v>
      </c>
      <c r="W397">
        <v>-24.5902443192068</v>
      </c>
      <c r="X397">
        <v>4.23336542499095</v>
      </c>
      <c r="Y397">
        <v>-20.5902443192068</v>
      </c>
      <c r="AA397" t="str">
        <f t="shared" si="12"/>
        <v xml:space="preserve">P &amp; OU </v>
      </c>
      <c r="AC397">
        <f t="shared" si="13"/>
        <v>0.39169047982786498</v>
      </c>
    </row>
    <row r="398" spans="1:29" x14ac:dyDescent="0.2">
      <c r="A398" t="s">
        <v>3</v>
      </c>
      <c r="B398" t="s">
        <v>214</v>
      </c>
      <c r="C398" s="23">
        <v>-8.0307295696957902E-5</v>
      </c>
      <c r="D398">
        <v>3.3459593406025902E-4</v>
      </c>
      <c r="E398">
        <v>0.81635600537281905</v>
      </c>
      <c r="F398">
        <v>-22.390862144763901</v>
      </c>
      <c r="G398">
        <v>-18.390862144763901</v>
      </c>
      <c r="I398" t="s">
        <v>3</v>
      </c>
      <c r="J398" t="s">
        <v>214</v>
      </c>
      <c r="K398" s="23">
        <v>3.4068811551764999E-5</v>
      </c>
      <c r="L398">
        <v>3.7604809309595301E-4</v>
      </c>
      <c r="M398">
        <v>0.93004014278154201</v>
      </c>
      <c r="N398">
        <v>-23.624923222138602</v>
      </c>
      <c r="O398" s="23">
        <v>1.2257846664939599E-7</v>
      </c>
      <c r="P398">
        <v>-19.624923222138602</v>
      </c>
      <c r="R398" t="s">
        <v>3</v>
      </c>
      <c r="S398" t="s">
        <v>214</v>
      </c>
      <c r="T398" s="23">
        <v>-2.14462925053529E-5</v>
      </c>
      <c r="U398">
        <v>3.7523668813740902E-4</v>
      </c>
      <c r="V398">
        <v>0.95582423305934106</v>
      </c>
      <c r="W398">
        <v>-23.8442153238082</v>
      </c>
      <c r="X398">
        <v>0.41957985922174601</v>
      </c>
      <c r="Y398">
        <v>-19.8442153238082</v>
      </c>
      <c r="AA398" t="str">
        <f t="shared" si="12"/>
        <v xml:space="preserve"> </v>
      </c>
      <c r="AC398">
        <f t="shared" si="13"/>
        <v>0.81635600537281905</v>
      </c>
    </row>
    <row r="399" spans="1:29" x14ac:dyDescent="0.2">
      <c r="A399" t="s">
        <v>3</v>
      </c>
      <c r="B399" t="s">
        <v>215</v>
      </c>
      <c r="C399">
        <v>0.11169879571575</v>
      </c>
      <c r="D399">
        <v>4.7252631275551397E-2</v>
      </c>
      <c r="E399">
        <v>4.5681857070916203E-2</v>
      </c>
      <c r="F399">
        <v>-27.616459539735999</v>
      </c>
      <c r="G399">
        <v>-23.616459539735999</v>
      </c>
      <c r="I399" t="s">
        <v>3</v>
      </c>
      <c r="J399" t="s">
        <v>215</v>
      </c>
      <c r="K399">
        <v>8.78071583221844E-2</v>
      </c>
      <c r="L399">
        <v>3.7132850148522002E-2</v>
      </c>
      <c r="M399">
        <v>4.5623997962922103E-2</v>
      </c>
      <c r="N399">
        <v>-28.914840858932202</v>
      </c>
      <c r="O399" s="23">
        <v>9.9999999999999903E-8</v>
      </c>
      <c r="P399">
        <v>-24.914840858932202</v>
      </c>
      <c r="R399" t="s">
        <v>3</v>
      </c>
      <c r="S399" t="s">
        <v>215</v>
      </c>
      <c r="T399">
        <v>8.7807064040775998E-2</v>
      </c>
      <c r="U399">
        <v>3.7132898163649598E-2</v>
      </c>
      <c r="V399">
        <v>4.5624396538683699E-2</v>
      </c>
      <c r="W399">
        <v>-28.914839425994298</v>
      </c>
      <c r="X399">
        <v>4.23336542499095</v>
      </c>
      <c r="Y399">
        <v>-24.914839425994298</v>
      </c>
      <c r="AA399" t="str">
        <f t="shared" si="12"/>
        <v xml:space="preserve"> </v>
      </c>
      <c r="AC399">
        <f t="shared" si="13"/>
        <v>4.5623997962922103E-2</v>
      </c>
    </row>
    <row r="400" spans="1:29" x14ac:dyDescent="0.2">
      <c r="A400" t="s">
        <v>3</v>
      </c>
      <c r="B400" t="s">
        <v>25</v>
      </c>
      <c r="C400" s="23">
        <v>4.2639881233998198E-5</v>
      </c>
      <c r="D400">
        <v>1.57726187017454E-4</v>
      </c>
      <c r="E400">
        <v>0.79374119414215505</v>
      </c>
      <c r="F400">
        <v>-22.4100531677582</v>
      </c>
      <c r="G400">
        <v>-18.4100531677582</v>
      </c>
      <c r="I400" t="s">
        <v>3</v>
      </c>
      <c r="J400" t="s">
        <v>25</v>
      </c>
      <c r="K400" s="23">
        <v>-8.0853459010155101E-5</v>
      </c>
      <c r="L400">
        <v>1.9526295998736201E-4</v>
      </c>
      <c r="M400">
        <v>0.68969837848446303</v>
      </c>
      <c r="N400">
        <v>-23.826726678103899</v>
      </c>
      <c r="O400" s="23">
        <v>9.9999999999999903E-8</v>
      </c>
      <c r="P400">
        <v>-19.826726678103899</v>
      </c>
      <c r="R400" t="s">
        <v>3</v>
      </c>
      <c r="S400" t="s">
        <v>25</v>
      </c>
      <c r="T400" s="23">
        <v>-5.5004979531682298E-5</v>
      </c>
      <c r="U400">
        <v>1.8623764226417E-4</v>
      </c>
      <c r="V400">
        <v>0.77524807804331697</v>
      </c>
      <c r="W400">
        <v>-23.924960504168101</v>
      </c>
      <c r="X400">
        <v>0.52899920677450496</v>
      </c>
      <c r="Y400">
        <v>-19.924960504168101</v>
      </c>
      <c r="AA400" t="str">
        <f t="shared" si="12"/>
        <v xml:space="preserve"> </v>
      </c>
      <c r="AC400">
        <f t="shared" si="13"/>
        <v>0.68969837848446303</v>
      </c>
    </row>
    <row r="401" spans="1:29" x14ac:dyDescent="0.2">
      <c r="A401" t="s">
        <v>3</v>
      </c>
      <c r="B401" t="s">
        <v>24</v>
      </c>
      <c r="C401">
        <v>-0.12312037829945</v>
      </c>
      <c r="D401">
        <v>6.8532622103170696E-2</v>
      </c>
      <c r="E401">
        <v>0.110136790379086</v>
      </c>
      <c r="F401">
        <v>-25.708351292350201</v>
      </c>
      <c r="G401">
        <v>-21.708351292350201</v>
      </c>
      <c r="I401" t="s">
        <v>3</v>
      </c>
      <c r="J401" t="s">
        <v>24</v>
      </c>
      <c r="K401">
        <v>-9.04499154513045E-2</v>
      </c>
      <c r="L401">
        <v>6.5774537086766394E-2</v>
      </c>
      <c r="M401">
        <v>0.20636170575490501</v>
      </c>
      <c r="N401">
        <v>-25.736546339894399</v>
      </c>
      <c r="O401" s="23">
        <v>9.9999999999999903E-8</v>
      </c>
      <c r="P401">
        <v>-21.736546339894399</v>
      </c>
      <c r="R401" t="s">
        <v>3</v>
      </c>
      <c r="S401" t="s">
        <v>24</v>
      </c>
      <c r="T401">
        <v>-9.0529850696114494E-2</v>
      </c>
      <c r="U401">
        <v>6.5535763780755804E-2</v>
      </c>
      <c r="V401">
        <v>0.20451451994822001</v>
      </c>
      <c r="W401">
        <v>-25.974237881696599</v>
      </c>
      <c r="X401">
        <v>0.39159157680068402</v>
      </c>
      <c r="Y401">
        <v>-21.974237881696599</v>
      </c>
      <c r="AA401" t="str">
        <f t="shared" si="12"/>
        <v xml:space="preserve"> </v>
      </c>
      <c r="AC401">
        <f t="shared" si="13"/>
        <v>0.110136790379086</v>
      </c>
    </row>
    <row r="402" spans="1:29" x14ac:dyDescent="0.2">
      <c r="A402" t="s">
        <v>3</v>
      </c>
      <c r="B402" t="s">
        <v>23</v>
      </c>
      <c r="C402">
        <v>1.9126053521214201E-2</v>
      </c>
      <c r="D402">
        <v>1.23353138873074E-2</v>
      </c>
      <c r="E402">
        <v>0.15961556643566599</v>
      </c>
      <c r="F402">
        <v>-24.9466849444944</v>
      </c>
      <c r="G402">
        <v>-20.9466849444944</v>
      </c>
      <c r="I402" t="s">
        <v>3</v>
      </c>
      <c r="J402" t="s">
        <v>23</v>
      </c>
      <c r="K402">
        <v>1.27064535790811E-2</v>
      </c>
      <c r="L402">
        <v>1.23118005594789E-2</v>
      </c>
      <c r="M402">
        <v>0.33223492681959099</v>
      </c>
      <c r="N402">
        <v>-24.864613132537698</v>
      </c>
      <c r="O402" s="23">
        <v>9.9999999999999903E-8</v>
      </c>
      <c r="P402">
        <v>-20.864613132537698</v>
      </c>
      <c r="R402" t="s">
        <v>3</v>
      </c>
      <c r="S402" t="s">
        <v>23</v>
      </c>
      <c r="T402">
        <v>1.38917824373768E-2</v>
      </c>
      <c r="U402">
        <v>1.20617016597709E-2</v>
      </c>
      <c r="V402">
        <v>0.28268823940437998</v>
      </c>
      <c r="W402">
        <v>-25.343114397320999</v>
      </c>
      <c r="X402">
        <v>0.348573515849601</v>
      </c>
      <c r="Y402">
        <v>-21.343114397320999</v>
      </c>
      <c r="AA402" t="str">
        <f t="shared" si="12"/>
        <v xml:space="preserve"> </v>
      </c>
      <c r="AC402">
        <f t="shared" si="13"/>
        <v>0.15961556643566599</v>
      </c>
    </row>
    <row r="403" spans="1:29" x14ac:dyDescent="0.2">
      <c r="A403" t="s">
        <v>3</v>
      </c>
      <c r="B403" t="s">
        <v>220</v>
      </c>
      <c r="C403">
        <v>-1.07485901747594E-4</v>
      </c>
      <c r="D403" s="23">
        <v>5.5282696990197501E-5</v>
      </c>
      <c r="E403">
        <v>8.7762166652748996E-2</v>
      </c>
      <c r="F403">
        <v>-26.188970957639199</v>
      </c>
      <c r="G403">
        <v>-22.188970957639199</v>
      </c>
      <c r="I403" t="s">
        <v>3</v>
      </c>
      <c r="J403" t="s">
        <v>220</v>
      </c>
      <c r="K403" s="23">
        <v>-9.2083958445102505E-5</v>
      </c>
      <c r="L403" s="23">
        <v>5.3530478928843399E-5</v>
      </c>
      <c r="M403">
        <v>0.123705158491558</v>
      </c>
      <c r="N403">
        <v>-26.761992600498701</v>
      </c>
      <c r="O403" s="23">
        <v>9.9999999999999903E-8</v>
      </c>
      <c r="P403">
        <v>-22.761992600498701</v>
      </c>
      <c r="R403" t="s">
        <v>3</v>
      </c>
      <c r="S403" t="s">
        <v>220</v>
      </c>
      <c r="T403" s="23">
        <v>-9.0079927145976206E-5</v>
      </c>
      <c r="U403" s="23">
        <v>5.35729355919749E-5</v>
      </c>
      <c r="V403">
        <v>0.13118210058784799</v>
      </c>
      <c r="W403">
        <v>-26.861918887332301</v>
      </c>
      <c r="X403">
        <v>0.46709342315167002</v>
      </c>
      <c r="Y403">
        <v>-22.861918887332301</v>
      </c>
      <c r="AA403" t="str">
        <f t="shared" si="12"/>
        <v xml:space="preserve"> </v>
      </c>
      <c r="AC403">
        <f t="shared" si="13"/>
        <v>8.7762166652748996E-2</v>
      </c>
    </row>
    <row r="404" spans="1:29" x14ac:dyDescent="0.2">
      <c r="A404" t="s">
        <v>211</v>
      </c>
      <c r="B404" t="s">
        <v>212</v>
      </c>
      <c r="C404">
        <v>-0.38616170738505601</v>
      </c>
      <c r="D404">
        <v>0.85993811966891398</v>
      </c>
      <c r="E404">
        <v>0.66530555088339904</v>
      </c>
      <c r="F404">
        <v>12.647559120536901</v>
      </c>
      <c r="G404">
        <v>16.647559120536901</v>
      </c>
      <c r="I404" t="s">
        <v>211</v>
      </c>
      <c r="J404" t="s">
        <v>212</v>
      </c>
      <c r="K404">
        <v>-1.9927170470818802E-2</v>
      </c>
      <c r="L404">
        <v>0.54568608713781697</v>
      </c>
      <c r="M404">
        <v>0.97176438515682195</v>
      </c>
      <c r="N404">
        <v>1.49408797832817</v>
      </c>
      <c r="O404" s="23">
        <v>9.9999999999999903E-8</v>
      </c>
      <c r="P404">
        <v>5.49408797832817</v>
      </c>
      <c r="R404" t="s">
        <v>211</v>
      </c>
      <c r="S404" t="s">
        <v>212</v>
      </c>
      <c r="T404">
        <v>-1.9932809749587201E-2</v>
      </c>
      <c r="U404">
        <v>0.54569093257467405</v>
      </c>
      <c r="V404">
        <v>0.97175664929300898</v>
      </c>
      <c r="W404">
        <v>1.4942668856033401</v>
      </c>
      <c r="X404">
        <v>4.23336542499095</v>
      </c>
      <c r="Y404">
        <v>5.4942668856033396</v>
      </c>
      <c r="AA404" t="str">
        <f t="shared" si="12"/>
        <v xml:space="preserve">P &amp; OU </v>
      </c>
      <c r="AC404">
        <f t="shared" si="13"/>
        <v>0.66530555088339904</v>
      </c>
    </row>
    <row r="405" spans="1:29" x14ac:dyDescent="0.2">
      <c r="A405" t="s">
        <v>211</v>
      </c>
      <c r="B405" t="s">
        <v>213</v>
      </c>
      <c r="C405">
        <v>2.0594495591282498</v>
      </c>
      <c r="D405">
        <v>0.26395323744474503</v>
      </c>
      <c r="E405" s="23">
        <v>5.2261963174470702E-5</v>
      </c>
      <c r="F405">
        <v>-8.6322072050437608</v>
      </c>
      <c r="G405">
        <v>-4.6322072050437599</v>
      </c>
      <c r="I405" t="s">
        <v>211</v>
      </c>
      <c r="J405" t="s">
        <v>213</v>
      </c>
      <c r="K405">
        <v>1.3721102198764701</v>
      </c>
      <c r="L405">
        <v>0.31671285770003998</v>
      </c>
      <c r="M405">
        <v>2.5040506429987001E-3</v>
      </c>
      <c r="N405">
        <v>-7.8010657742940301</v>
      </c>
      <c r="O405">
        <v>0.411224098192571</v>
      </c>
      <c r="P405">
        <v>-3.8010657742940301</v>
      </c>
      <c r="R405" t="s">
        <v>211</v>
      </c>
      <c r="S405" t="s">
        <v>213</v>
      </c>
      <c r="T405">
        <v>2.0594495430817998</v>
      </c>
      <c r="U405">
        <v>0.26395324164813699</v>
      </c>
      <c r="V405" s="23">
        <v>5.2261972051469502E-5</v>
      </c>
      <c r="W405">
        <v>-6.6322071875507298</v>
      </c>
      <c r="X405" s="23">
        <v>8.4667308499818997E-9</v>
      </c>
      <c r="Y405">
        <v>-2.6322071875507298</v>
      </c>
      <c r="AA405" t="str">
        <f t="shared" si="12"/>
        <v xml:space="preserve"> </v>
      </c>
      <c r="AC405">
        <f t="shared" si="13"/>
        <v>5.2261963174470702E-5</v>
      </c>
    </row>
    <row r="406" spans="1:29" x14ac:dyDescent="0.2">
      <c r="A406" t="s">
        <v>211</v>
      </c>
      <c r="B406" t="s">
        <v>214</v>
      </c>
      <c r="C406">
        <v>5.0973493347961397E-3</v>
      </c>
      <c r="D406">
        <v>7.5341458830266602E-4</v>
      </c>
      <c r="E406">
        <v>1.42744493960807E-4</v>
      </c>
      <c r="F406">
        <v>-6.1570217142731796</v>
      </c>
      <c r="G406">
        <v>-2.15702171427318</v>
      </c>
      <c r="I406" t="s">
        <v>211</v>
      </c>
      <c r="J406" t="s">
        <v>214</v>
      </c>
      <c r="K406">
        <v>3.1211577343875298E-3</v>
      </c>
      <c r="L406">
        <v>7.2523477100423198E-4</v>
      </c>
      <c r="M406">
        <v>2.60287999647499E-3</v>
      </c>
      <c r="N406">
        <v>-10.4893555932052</v>
      </c>
      <c r="O406" s="23">
        <v>9.9999999999999903E-8</v>
      </c>
      <c r="P406">
        <v>-6.4893555932052198</v>
      </c>
      <c r="R406" t="s">
        <v>211</v>
      </c>
      <c r="S406" t="s">
        <v>214</v>
      </c>
      <c r="T406">
        <v>3.1211999522803898E-3</v>
      </c>
      <c r="U406">
        <v>7.2524368849175697E-4</v>
      </c>
      <c r="V406">
        <v>2.6028613763098701E-3</v>
      </c>
      <c r="W406">
        <v>-10.489192956441901</v>
      </c>
      <c r="X406">
        <v>4.23336542499095</v>
      </c>
      <c r="Y406">
        <v>-6.4891929564418902</v>
      </c>
      <c r="AA406" t="str">
        <f t="shared" si="12"/>
        <v xml:space="preserve">P &amp; OU </v>
      </c>
      <c r="AC406">
        <f t="shared" si="13"/>
        <v>1.42744493960807E-4</v>
      </c>
    </row>
    <row r="407" spans="1:29" x14ac:dyDescent="0.2">
      <c r="A407" t="s">
        <v>211</v>
      </c>
      <c r="B407" t="s">
        <v>215</v>
      </c>
      <c r="C407">
        <v>-0.23640099305066101</v>
      </c>
      <c r="D407">
        <v>0.34833633863443297</v>
      </c>
      <c r="E407">
        <v>0.51650272769791195</v>
      </c>
      <c r="F407">
        <v>12.3367437120954</v>
      </c>
      <c r="G407">
        <v>16.336743712095402</v>
      </c>
      <c r="I407" t="s">
        <v>211</v>
      </c>
      <c r="J407" t="s">
        <v>215</v>
      </c>
      <c r="K407">
        <v>-2.4137301712404899E-2</v>
      </c>
      <c r="L407">
        <v>0.16965522864504301</v>
      </c>
      <c r="M407">
        <v>0.89038246986033198</v>
      </c>
      <c r="N407">
        <v>1.4704848283090901</v>
      </c>
      <c r="O407" s="23">
        <v>9.9999999999999903E-8</v>
      </c>
      <c r="P407">
        <v>5.4704848283090897</v>
      </c>
      <c r="R407" t="s">
        <v>211</v>
      </c>
      <c r="S407" t="s">
        <v>215</v>
      </c>
      <c r="T407">
        <v>-2.4140008684252499E-2</v>
      </c>
      <c r="U407">
        <v>0.169656917493478</v>
      </c>
      <c r="V407">
        <v>0.890371352341922</v>
      </c>
      <c r="W407">
        <v>1.47065949082846</v>
      </c>
      <c r="X407">
        <v>4.23336542499095</v>
      </c>
      <c r="Y407">
        <v>5.47065949082846</v>
      </c>
      <c r="AA407" t="str">
        <f t="shared" si="12"/>
        <v xml:space="preserve">P &amp; OU </v>
      </c>
      <c r="AC407">
        <f t="shared" si="13"/>
        <v>0.51650272769791195</v>
      </c>
    </row>
    <row r="408" spans="1:29" x14ac:dyDescent="0.2">
      <c r="A408" t="s">
        <v>211</v>
      </c>
      <c r="B408" t="s">
        <v>25</v>
      </c>
      <c r="C408">
        <v>2.0678596877248801E-3</v>
      </c>
      <c r="D408">
        <v>5.6122347587329402E-4</v>
      </c>
      <c r="E408">
        <v>6.1784520548926998E-3</v>
      </c>
      <c r="F408">
        <v>2.9751196886530802</v>
      </c>
      <c r="G408">
        <v>6.9751196886530797</v>
      </c>
      <c r="I408" t="s">
        <v>211</v>
      </c>
      <c r="J408" t="s">
        <v>25</v>
      </c>
      <c r="K408">
        <v>9.49515816809562E-4</v>
      </c>
      <c r="L408">
        <v>6.0581768875469404E-4</v>
      </c>
      <c r="M408">
        <v>0.15567330557515799</v>
      </c>
      <c r="N408">
        <v>-1.18208799260487</v>
      </c>
      <c r="O408" s="23">
        <v>9.9999999999999903E-8</v>
      </c>
      <c r="P408">
        <v>2.81791200739513</v>
      </c>
      <c r="R408" t="s">
        <v>211</v>
      </c>
      <c r="S408" t="s">
        <v>25</v>
      </c>
      <c r="T408">
        <v>9.4953655301233803E-4</v>
      </c>
      <c r="U408">
        <v>6.0581723577887703E-4</v>
      </c>
      <c r="V408">
        <v>0.15566510086643301</v>
      </c>
      <c r="W408">
        <v>-1.18201429551707</v>
      </c>
      <c r="X408">
        <v>4.23336542499095</v>
      </c>
      <c r="Y408">
        <v>2.81798570448293</v>
      </c>
      <c r="AA408" t="str">
        <f t="shared" si="12"/>
        <v xml:space="preserve">P &amp; OU </v>
      </c>
      <c r="AC408">
        <f t="shared" si="13"/>
        <v>6.1784520548926998E-3</v>
      </c>
    </row>
    <row r="409" spans="1:29" x14ac:dyDescent="0.2">
      <c r="A409" t="s">
        <v>211</v>
      </c>
      <c r="B409" t="s">
        <v>24</v>
      </c>
      <c r="C409">
        <v>0.134299433710306</v>
      </c>
      <c r="D409">
        <v>0.46987777664952002</v>
      </c>
      <c r="E409">
        <v>0.78227879546357204</v>
      </c>
      <c r="F409">
        <v>12.794903591978301</v>
      </c>
      <c r="G409">
        <v>16.794903591978301</v>
      </c>
      <c r="I409" t="s">
        <v>211</v>
      </c>
      <c r="J409" t="s">
        <v>24</v>
      </c>
      <c r="K409">
        <v>3.06276356567903E-2</v>
      </c>
      <c r="L409">
        <v>0.256456028330459</v>
      </c>
      <c r="M409">
        <v>0.90788209008542298</v>
      </c>
      <c r="N409">
        <v>1.4779422867477401</v>
      </c>
      <c r="O409" s="23">
        <v>9.9999999999999903E-8</v>
      </c>
      <c r="P409">
        <v>5.4779422867477399</v>
      </c>
      <c r="R409" t="s">
        <v>211</v>
      </c>
      <c r="S409" t="s">
        <v>24</v>
      </c>
      <c r="T409">
        <v>3.0629545267736501E-2</v>
      </c>
      <c r="U409">
        <v>0.25645843904911197</v>
      </c>
      <c r="V409">
        <v>0.90787723857199398</v>
      </c>
      <c r="W409">
        <v>1.4781202231806201</v>
      </c>
      <c r="X409">
        <v>4.23336542499095</v>
      </c>
      <c r="Y409">
        <v>5.4781202231806203</v>
      </c>
      <c r="AA409" t="str">
        <f t="shared" si="12"/>
        <v xml:space="preserve">P &amp; OU </v>
      </c>
      <c r="AC409">
        <f t="shared" si="13"/>
        <v>0.78227879546357204</v>
      </c>
    </row>
    <row r="410" spans="1:29" x14ac:dyDescent="0.2">
      <c r="A410" t="s">
        <v>211</v>
      </c>
      <c r="B410" t="s">
        <v>23</v>
      </c>
      <c r="C410">
        <v>2.0565835607441602E-2</v>
      </c>
      <c r="D410">
        <v>8.1504800773427394E-2</v>
      </c>
      <c r="E410">
        <v>0.80715048847583404</v>
      </c>
      <c r="F410">
        <v>12.817229598833499</v>
      </c>
      <c r="G410">
        <v>16.817229598833499</v>
      </c>
      <c r="I410" t="s">
        <v>211</v>
      </c>
      <c r="J410" t="s">
        <v>23</v>
      </c>
      <c r="K410">
        <v>-1.0617450607078201E-2</v>
      </c>
      <c r="L410">
        <v>4.5843587165188902E-2</v>
      </c>
      <c r="M410">
        <v>0.82266148865968403</v>
      </c>
      <c r="N410">
        <v>1.4289293845033699</v>
      </c>
      <c r="O410" s="23">
        <v>9.9999999999999903E-8</v>
      </c>
      <c r="P410">
        <v>5.4289293845033697</v>
      </c>
      <c r="R410" t="s">
        <v>211</v>
      </c>
      <c r="S410" t="s">
        <v>23</v>
      </c>
      <c r="T410">
        <v>-1.06169120110451E-2</v>
      </c>
      <c r="U410">
        <v>4.5844018243121697E-2</v>
      </c>
      <c r="V410">
        <v>0.82267194013498901</v>
      </c>
      <c r="W410">
        <v>1.4291172150040801</v>
      </c>
      <c r="X410">
        <v>4.23336542499095</v>
      </c>
      <c r="Y410">
        <v>5.4291172150040801</v>
      </c>
      <c r="AA410" t="str">
        <f t="shared" si="12"/>
        <v xml:space="preserve">P &amp; OU </v>
      </c>
      <c r="AC410">
        <f t="shared" si="13"/>
        <v>0.80715048847583404</v>
      </c>
    </row>
    <row r="411" spans="1:29" x14ac:dyDescent="0.2">
      <c r="A411" t="s">
        <v>211</v>
      </c>
      <c r="B411" t="s">
        <v>220</v>
      </c>
      <c r="C411">
        <v>3.6115216949589502E-4</v>
      </c>
      <c r="D411">
        <v>3.68747540076796E-4</v>
      </c>
      <c r="E411">
        <v>0.35606662358093699</v>
      </c>
      <c r="F411">
        <v>11.7640744538242</v>
      </c>
      <c r="G411">
        <v>15.7640744538242</v>
      </c>
      <c r="I411" t="s">
        <v>211</v>
      </c>
      <c r="J411" t="s">
        <v>220</v>
      </c>
      <c r="K411" s="23">
        <v>8.41475761692357E-5</v>
      </c>
      <c r="L411">
        <v>2.17870574842776E-4</v>
      </c>
      <c r="M411">
        <v>0.70939744195074494</v>
      </c>
      <c r="N411">
        <v>1.31100743574789</v>
      </c>
      <c r="O411" s="23">
        <v>9.9999999999999903E-8</v>
      </c>
      <c r="P411">
        <v>5.3110074357478902</v>
      </c>
      <c r="R411" t="s">
        <v>211</v>
      </c>
      <c r="S411" t="s">
        <v>220</v>
      </c>
      <c r="T411" s="23">
        <v>8.4151520333341695E-5</v>
      </c>
      <c r="U411">
        <v>2.1787248626527699E-4</v>
      </c>
      <c r="V411">
        <v>0.70938696954592095</v>
      </c>
      <c r="W411">
        <v>1.3111733086536901</v>
      </c>
      <c r="X411">
        <v>4.23336542499095</v>
      </c>
      <c r="Y411">
        <v>5.3111733086536903</v>
      </c>
      <c r="AA411" t="str">
        <f t="shared" si="12"/>
        <v xml:space="preserve">P &amp; OU </v>
      </c>
      <c r="AC411">
        <f t="shared" si="13"/>
        <v>0.35606662358093699</v>
      </c>
    </row>
    <row r="412" spans="1:29" x14ac:dyDescent="0.2">
      <c r="A412" t="s">
        <v>212</v>
      </c>
      <c r="B412" t="s">
        <v>213</v>
      </c>
      <c r="C412">
        <v>-0.13416750852655601</v>
      </c>
      <c r="D412">
        <v>0.31088631079606799</v>
      </c>
      <c r="E412">
        <v>0.67745247534790398</v>
      </c>
      <c r="F412">
        <v>-5.3591006322656298</v>
      </c>
      <c r="G412">
        <v>-1.35910063226563</v>
      </c>
      <c r="I412" t="s">
        <v>212</v>
      </c>
      <c r="J412" t="s">
        <v>213</v>
      </c>
      <c r="K412">
        <v>-2.7890293193596701E-2</v>
      </c>
      <c r="L412">
        <v>0.30255018326383898</v>
      </c>
      <c r="M412">
        <v>0.92881845614493697</v>
      </c>
      <c r="N412">
        <v>-7.1967161573349996</v>
      </c>
      <c r="O412" s="23">
        <v>9.9999999999999903E-8</v>
      </c>
      <c r="P412">
        <v>-3.196716157335</v>
      </c>
      <c r="R412" t="s">
        <v>212</v>
      </c>
      <c r="S412" t="s">
        <v>213</v>
      </c>
      <c r="T412">
        <v>-4.19328895612558E-2</v>
      </c>
      <c r="U412">
        <v>0.30942105807223702</v>
      </c>
      <c r="V412">
        <v>0.89554829245716705</v>
      </c>
      <c r="W412">
        <v>-7.2082814363220296</v>
      </c>
      <c r="X412">
        <v>0.74659445211956199</v>
      </c>
      <c r="Y412">
        <v>-3.20828143632203</v>
      </c>
      <c r="AA412" t="str">
        <f t="shared" si="12"/>
        <v xml:space="preserve"> </v>
      </c>
      <c r="AC412">
        <f t="shared" si="13"/>
        <v>0.67745247534790398</v>
      </c>
    </row>
    <row r="413" spans="1:29" x14ac:dyDescent="0.2">
      <c r="A413" t="s">
        <v>212</v>
      </c>
      <c r="B413" t="s">
        <v>214</v>
      </c>
      <c r="C413">
        <v>-3.9390375027494203E-4</v>
      </c>
      <c r="D413">
        <v>7.80832872767395E-4</v>
      </c>
      <c r="E413">
        <v>0.62753229754706596</v>
      </c>
      <c r="F413">
        <v>-5.4421121693759096</v>
      </c>
      <c r="G413">
        <v>-1.44211216937591</v>
      </c>
      <c r="I413" t="s">
        <v>212</v>
      </c>
      <c r="J413" t="s">
        <v>214</v>
      </c>
      <c r="K413" s="23">
        <v>2.6029102193750299E-5</v>
      </c>
      <c r="L413">
        <v>8.5542666589491403E-4</v>
      </c>
      <c r="M413">
        <v>0.97647096660934396</v>
      </c>
      <c r="N413">
        <v>-7.1872567053343603</v>
      </c>
      <c r="O413" s="23">
        <v>9.9999999999999903E-8</v>
      </c>
      <c r="P413">
        <v>-3.1872567053343599</v>
      </c>
      <c r="R413" t="s">
        <v>212</v>
      </c>
      <c r="S413" t="s">
        <v>214</v>
      </c>
      <c r="T413" s="23">
        <v>2.6021660102890101E-5</v>
      </c>
      <c r="U413">
        <v>8.5543031304299898E-4</v>
      </c>
      <c r="V413">
        <v>0.97647779181383898</v>
      </c>
      <c r="W413">
        <v>-7.1872547164091598</v>
      </c>
      <c r="X413">
        <v>4.23336542499095</v>
      </c>
      <c r="Y413">
        <v>-3.1872547164091598</v>
      </c>
      <c r="AA413" t="str">
        <f t="shared" si="12"/>
        <v xml:space="preserve"> </v>
      </c>
      <c r="AC413">
        <f t="shared" si="13"/>
        <v>0.62753229754706596</v>
      </c>
    </row>
    <row r="414" spans="1:29" x14ac:dyDescent="0.2">
      <c r="A414" t="s">
        <v>212</v>
      </c>
      <c r="B414" t="s">
        <v>215</v>
      </c>
      <c r="C414">
        <v>0.104387911819101</v>
      </c>
      <c r="D414">
        <v>0.140697386115158</v>
      </c>
      <c r="E414">
        <v>0.47934161657887497</v>
      </c>
      <c r="F414">
        <v>-5.7943986303424699</v>
      </c>
      <c r="G414">
        <v>-1.7943986303424699</v>
      </c>
      <c r="I414" t="s">
        <v>212</v>
      </c>
      <c r="J414" t="s">
        <v>215</v>
      </c>
      <c r="K414">
        <v>1.5711775207503099E-2</v>
      </c>
      <c r="L414">
        <v>0.109910185753634</v>
      </c>
      <c r="M414">
        <v>0.88986377836100095</v>
      </c>
      <c r="N414">
        <v>-7.2116106079435403</v>
      </c>
      <c r="O414" s="23">
        <v>9.9999999999999903E-8</v>
      </c>
      <c r="P414">
        <v>-3.2116106079435398</v>
      </c>
      <c r="R414" t="s">
        <v>212</v>
      </c>
      <c r="S414" t="s">
        <v>215</v>
      </c>
      <c r="T414">
        <v>1.5711677686237401E-2</v>
      </c>
      <c r="U414">
        <v>0.109910329343697</v>
      </c>
      <c r="V414">
        <v>0.88986459953671504</v>
      </c>
      <c r="W414">
        <v>-7.2116089076551502</v>
      </c>
      <c r="X414">
        <v>4.23336542499095</v>
      </c>
      <c r="Y414">
        <v>-3.2116089076551502</v>
      </c>
      <c r="AA414" t="str">
        <f t="shared" si="12"/>
        <v xml:space="preserve"> </v>
      </c>
      <c r="AC414">
        <f t="shared" si="13"/>
        <v>0.47934161657887497</v>
      </c>
    </row>
    <row r="415" spans="1:29" x14ac:dyDescent="0.2">
      <c r="A415" t="s">
        <v>212</v>
      </c>
      <c r="B415" t="s">
        <v>25</v>
      </c>
      <c r="C415" s="23">
        <v>-2.77868281087813E-5</v>
      </c>
      <c r="D415">
        <v>3.7411774169915601E-4</v>
      </c>
      <c r="E415">
        <v>0.94261679385119601</v>
      </c>
      <c r="F415">
        <v>-5.1358525847324197</v>
      </c>
      <c r="G415">
        <v>-1.1358525847324199</v>
      </c>
      <c r="I415" t="s">
        <v>212</v>
      </c>
      <c r="J415" t="s">
        <v>25</v>
      </c>
      <c r="K415">
        <v>3.9002714586647302E-4</v>
      </c>
      <c r="L415">
        <v>4.26996735762412E-4</v>
      </c>
      <c r="M415">
        <v>0.387721293524453</v>
      </c>
      <c r="N415">
        <v>-8.1781425636604901</v>
      </c>
      <c r="O415" s="23">
        <v>9.9999999999999903E-8</v>
      </c>
      <c r="P415">
        <v>-4.1781425636604901</v>
      </c>
      <c r="R415" t="s">
        <v>212</v>
      </c>
      <c r="S415" t="s">
        <v>25</v>
      </c>
      <c r="T415">
        <v>3.90021593927592E-4</v>
      </c>
      <c r="U415">
        <v>4.26995310648188E-4</v>
      </c>
      <c r="V415">
        <v>0.38772621975865501</v>
      </c>
      <c r="W415">
        <v>-8.1781206630737309</v>
      </c>
      <c r="X415">
        <v>4.23336542499095</v>
      </c>
      <c r="Y415">
        <v>-4.17812066307373</v>
      </c>
      <c r="AA415" t="str">
        <f t="shared" si="12"/>
        <v xml:space="preserve">P &amp; OU </v>
      </c>
      <c r="AC415">
        <f t="shared" si="13"/>
        <v>0.387721293524453</v>
      </c>
    </row>
    <row r="416" spans="1:29" x14ac:dyDescent="0.2">
      <c r="A416" t="s">
        <v>212</v>
      </c>
      <c r="B416" t="s">
        <v>24</v>
      </c>
      <c r="C416">
        <v>-9.9559578685743902E-2</v>
      </c>
      <c r="D416">
        <v>0.188508484314516</v>
      </c>
      <c r="E416">
        <v>0.61173166549555502</v>
      </c>
      <c r="F416">
        <v>-5.4716883220658996</v>
      </c>
      <c r="G416">
        <v>-1.4716883220659001</v>
      </c>
      <c r="I416" t="s">
        <v>212</v>
      </c>
      <c r="J416" t="s">
        <v>24</v>
      </c>
      <c r="K416">
        <v>-5.2099368114109999E-2</v>
      </c>
      <c r="L416">
        <v>0.16527032800223301</v>
      </c>
      <c r="M416">
        <v>0.76064748893530798</v>
      </c>
      <c r="N416">
        <v>-7.3095524254270599</v>
      </c>
      <c r="O416" s="23">
        <v>9.9999999999999903E-8</v>
      </c>
      <c r="P416">
        <v>-3.3095524254270599</v>
      </c>
      <c r="R416" t="s">
        <v>212</v>
      </c>
      <c r="S416" t="s">
        <v>24</v>
      </c>
      <c r="T416">
        <v>-5.47434314255675E-2</v>
      </c>
      <c r="U416">
        <v>0.16581154788625599</v>
      </c>
      <c r="V416">
        <v>0.74976287048506696</v>
      </c>
      <c r="W416">
        <v>-7.3179105452021496</v>
      </c>
      <c r="X416">
        <v>0.68827479007122205</v>
      </c>
      <c r="Y416">
        <v>-3.31791054520215</v>
      </c>
      <c r="AA416" t="str">
        <f t="shared" si="12"/>
        <v xml:space="preserve"> </v>
      </c>
      <c r="AC416">
        <f t="shared" si="13"/>
        <v>0.61173166549555502</v>
      </c>
    </row>
    <row r="417" spans="1:29" x14ac:dyDescent="0.2">
      <c r="A417" t="s">
        <v>212</v>
      </c>
      <c r="B417" t="s">
        <v>23</v>
      </c>
      <c r="C417">
        <v>1.5842713809902698E-2</v>
      </c>
      <c r="D417">
        <v>3.2751134135265501E-2</v>
      </c>
      <c r="E417">
        <v>0.64154019498755399</v>
      </c>
      <c r="F417">
        <v>-5.4172570439925698</v>
      </c>
      <c r="G417">
        <v>-1.41725704399257</v>
      </c>
      <c r="I417" t="s">
        <v>212</v>
      </c>
      <c r="J417" t="s">
        <v>23</v>
      </c>
      <c r="K417">
        <v>1.4840758478221999E-2</v>
      </c>
      <c r="L417">
        <v>2.9333691449296099E-2</v>
      </c>
      <c r="M417">
        <v>0.62655018553632302</v>
      </c>
      <c r="N417">
        <v>-7.5010423985044001</v>
      </c>
      <c r="O417" s="23">
        <v>9.9999999999999903E-8</v>
      </c>
      <c r="P417">
        <v>-3.5010423985044001</v>
      </c>
      <c r="R417" t="s">
        <v>212</v>
      </c>
      <c r="S417" t="s">
        <v>23</v>
      </c>
      <c r="T417">
        <v>1.50569094607498E-2</v>
      </c>
      <c r="U417">
        <v>2.9371194609776798E-2</v>
      </c>
      <c r="V417">
        <v>0.62205258730256596</v>
      </c>
      <c r="W417">
        <v>-7.5077699578104404</v>
      </c>
      <c r="X417">
        <v>0.72384647099413202</v>
      </c>
      <c r="Y417">
        <v>-3.50776995781044</v>
      </c>
      <c r="AA417" t="str">
        <f t="shared" si="12"/>
        <v xml:space="preserve">P &amp; OU </v>
      </c>
      <c r="AC417">
        <f t="shared" si="13"/>
        <v>0.62205258730256596</v>
      </c>
    </row>
    <row r="418" spans="1:29" x14ac:dyDescent="0.2">
      <c r="A418" t="s">
        <v>212</v>
      </c>
      <c r="B418" t="s">
        <v>220</v>
      </c>
      <c r="C418" s="23">
        <v>-8.7367432132912494E-5</v>
      </c>
      <c r="D418">
        <v>1.5541346957557799E-4</v>
      </c>
      <c r="E418">
        <v>0.58940587868431205</v>
      </c>
      <c r="F418">
        <v>-5.5163880595906898</v>
      </c>
      <c r="G418">
        <v>-1.51638805959069</v>
      </c>
      <c r="I418" t="s">
        <v>212</v>
      </c>
      <c r="J418" t="s">
        <v>220</v>
      </c>
      <c r="K418" s="23">
        <v>-2.29018133442692E-5</v>
      </c>
      <c r="L418">
        <v>1.4222750981152799E-4</v>
      </c>
      <c r="M418">
        <v>0.87606780740180501</v>
      </c>
      <c r="N418">
        <v>-7.2184572813116397</v>
      </c>
      <c r="O418" s="23">
        <v>9.9999999999999903E-8</v>
      </c>
      <c r="P418">
        <v>-3.2184572813116401</v>
      </c>
      <c r="R418" t="s">
        <v>212</v>
      </c>
      <c r="S418" t="s">
        <v>220</v>
      </c>
      <c r="T418" s="23">
        <v>-2.2901805967003701E-5</v>
      </c>
      <c r="U418">
        <v>1.42227587780836E-4</v>
      </c>
      <c r="V418">
        <v>0.87606791422064301</v>
      </c>
      <c r="W418">
        <v>-7.2184559076471198</v>
      </c>
      <c r="X418">
        <v>4.23336542499095</v>
      </c>
      <c r="Y418">
        <v>-3.2184559076471202</v>
      </c>
      <c r="AA418" t="str">
        <f t="shared" si="12"/>
        <v xml:space="preserve"> </v>
      </c>
      <c r="AC418">
        <f t="shared" si="13"/>
        <v>0.58940587868431205</v>
      </c>
    </row>
    <row r="419" spans="1:29" x14ac:dyDescent="0.2">
      <c r="A419" t="s">
        <v>213</v>
      </c>
      <c r="B419" t="s">
        <v>214</v>
      </c>
      <c r="C419">
        <v>2.4664471235696199E-3</v>
      </c>
      <c r="D419">
        <v>1.8625657174052299E-4</v>
      </c>
      <c r="E419" s="23">
        <v>1.0087002003997399E-6</v>
      </c>
      <c r="F419">
        <v>-34.106832058480997</v>
      </c>
      <c r="G419">
        <v>-30.106832058481</v>
      </c>
      <c r="I419" t="s">
        <v>213</v>
      </c>
      <c r="J419" t="s">
        <v>214</v>
      </c>
      <c r="K419">
        <v>2.4664471235696199E-3</v>
      </c>
      <c r="L419">
        <v>1.8625657174052299E-4</v>
      </c>
      <c r="M419" s="23">
        <v>1.0087002003997399E-6</v>
      </c>
      <c r="N419">
        <v>-32.106832058480997</v>
      </c>
      <c r="O419">
        <v>1</v>
      </c>
      <c r="P419">
        <v>-28.106832058481</v>
      </c>
      <c r="R419" t="s">
        <v>213</v>
      </c>
      <c r="S419" t="s">
        <v>214</v>
      </c>
      <c r="T419">
        <v>2.4664471221012099E-3</v>
      </c>
      <c r="U419">
        <v>1.8625657487381E-4</v>
      </c>
      <c r="V419" s="23">
        <v>1.00870033543088E-6</v>
      </c>
      <c r="W419">
        <v>-32.1068320263266</v>
      </c>
      <c r="X419" s="23">
        <v>8.4667308499818997E-9</v>
      </c>
      <c r="Y419">
        <v>-28.1068320263266</v>
      </c>
      <c r="AA419" t="str">
        <f t="shared" si="12"/>
        <v xml:space="preserve"> </v>
      </c>
      <c r="AC419">
        <f t="shared" si="13"/>
        <v>1.0087002003997399E-6</v>
      </c>
    </row>
    <row r="420" spans="1:29" x14ac:dyDescent="0.2">
      <c r="A420" t="s">
        <v>213</v>
      </c>
      <c r="B420" t="s">
        <v>215</v>
      </c>
      <c r="C420">
        <v>-7.2796103310758406E-2</v>
      </c>
      <c r="D420">
        <v>0.16148981135499799</v>
      </c>
      <c r="E420">
        <v>0.66411626659719003</v>
      </c>
      <c r="F420">
        <v>-3.0377852932003502</v>
      </c>
      <c r="G420">
        <v>0.96221470679964605</v>
      </c>
      <c r="I420" t="s">
        <v>213</v>
      </c>
      <c r="J420" t="s">
        <v>215</v>
      </c>
      <c r="K420">
        <v>5.5003358832010497E-2</v>
      </c>
      <c r="L420">
        <v>0.13103031566845599</v>
      </c>
      <c r="M420">
        <v>0.685695699619147</v>
      </c>
      <c r="N420">
        <v>-5.7080933263814897</v>
      </c>
      <c r="O420">
        <v>0.31916965221353999</v>
      </c>
      <c r="P420">
        <v>-1.7080933263814899</v>
      </c>
      <c r="R420" t="s">
        <v>213</v>
      </c>
      <c r="S420" t="s">
        <v>215</v>
      </c>
      <c r="T420">
        <v>0.12551635569082301</v>
      </c>
      <c r="U420">
        <v>0.118874594340761</v>
      </c>
      <c r="V420">
        <v>0.32186695997722697</v>
      </c>
      <c r="W420">
        <v>-5.8843400574536204</v>
      </c>
      <c r="X420">
        <v>0.70377713245808105</v>
      </c>
      <c r="Y420">
        <v>-1.88434005745362</v>
      </c>
      <c r="AA420" t="str">
        <f t="shared" si="12"/>
        <v xml:space="preserve">P &amp; OU </v>
      </c>
      <c r="AC420">
        <f t="shared" si="13"/>
        <v>0.32186695997722697</v>
      </c>
    </row>
    <row r="421" spans="1:29" x14ac:dyDescent="0.2">
      <c r="A421" t="s">
        <v>213</v>
      </c>
      <c r="B421" t="s">
        <v>25</v>
      </c>
      <c r="C421">
        <v>9.3127619382402604E-4</v>
      </c>
      <c r="D421">
        <v>2.6194053195823902E-4</v>
      </c>
      <c r="E421">
        <v>7.4516493895475499E-3</v>
      </c>
      <c r="F421">
        <v>-12.264913874895001</v>
      </c>
      <c r="G421">
        <v>-8.2649138748950097</v>
      </c>
      <c r="I421" t="s">
        <v>213</v>
      </c>
      <c r="J421" t="s">
        <v>25</v>
      </c>
      <c r="K421">
        <v>9.3127619382402604E-4</v>
      </c>
      <c r="L421">
        <v>2.6194053195823902E-4</v>
      </c>
      <c r="M421">
        <v>7.4516493895475499E-3</v>
      </c>
      <c r="N421">
        <v>-10.264913874895001</v>
      </c>
      <c r="O421">
        <v>1</v>
      </c>
      <c r="P421">
        <v>-6.2649138748950097</v>
      </c>
      <c r="R421" t="s">
        <v>213</v>
      </c>
      <c r="S421" t="s">
        <v>25</v>
      </c>
      <c r="T421">
        <v>9.1627245125849898E-4</v>
      </c>
      <c r="U421">
        <v>2.69244212930492E-4</v>
      </c>
      <c r="V421">
        <v>9.3172850142171897E-3</v>
      </c>
      <c r="W421">
        <v>-10.282800860771401</v>
      </c>
      <c r="X421">
        <v>1.6929647394351099E-2</v>
      </c>
      <c r="Y421">
        <v>-6.2828008607713697</v>
      </c>
      <c r="AA421" t="str">
        <f t="shared" si="12"/>
        <v xml:space="preserve"> </v>
      </c>
      <c r="AC421">
        <f t="shared" si="13"/>
        <v>7.4516493895475499E-3</v>
      </c>
    </row>
    <row r="422" spans="1:29" x14ac:dyDescent="0.2">
      <c r="A422" t="s">
        <v>213</v>
      </c>
      <c r="B422" t="s">
        <v>24</v>
      </c>
      <c r="C422">
        <v>-4.6098813483035602E-3</v>
      </c>
      <c r="D422">
        <v>0.21558409083521801</v>
      </c>
      <c r="E422">
        <v>0.98346367970757598</v>
      </c>
      <c r="F422">
        <v>-2.7875277096295399</v>
      </c>
      <c r="G422">
        <v>1.2124722903704599</v>
      </c>
      <c r="I422" t="s">
        <v>213</v>
      </c>
      <c r="J422" t="s">
        <v>24</v>
      </c>
      <c r="K422">
        <v>-6.2066925238759001E-2</v>
      </c>
      <c r="L422">
        <v>0.17765036192957201</v>
      </c>
      <c r="M422">
        <v>0.73582477150798897</v>
      </c>
      <c r="N422">
        <v>-5.7498714950890903</v>
      </c>
      <c r="O422">
        <v>0.40849678519944099</v>
      </c>
      <c r="P422">
        <v>-1.7498714950890899</v>
      </c>
      <c r="R422" t="s">
        <v>213</v>
      </c>
      <c r="S422" t="s">
        <v>24</v>
      </c>
      <c r="T422">
        <v>-0.14269609677506701</v>
      </c>
      <c r="U422">
        <v>0.182002854302483</v>
      </c>
      <c r="V422">
        <v>0.455605941512774</v>
      </c>
      <c r="W422">
        <v>-5.5012830986118297</v>
      </c>
      <c r="X422">
        <v>0.50730537580942103</v>
      </c>
      <c r="Y422">
        <v>-1.50128309861183</v>
      </c>
      <c r="AA422" t="str">
        <f t="shared" si="12"/>
        <v xml:space="preserve">P &amp; OU </v>
      </c>
      <c r="AC422">
        <f t="shared" si="13"/>
        <v>0.455605941512774</v>
      </c>
    </row>
    <row r="423" spans="1:29" x14ac:dyDescent="0.2">
      <c r="A423" t="s">
        <v>213</v>
      </c>
      <c r="B423" t="s">
        <v>23</v>
      </c>
      <c r="C423">
        <v>1.3248801807032E-2</v>
      </c>
      <c r="D423">
        <v>3.7059617244564698E-2</v>
      </c>
      <c r="E423">
        <v>0.72996569737329597</v>
      </c>
      <c r="F423">
        <v>-2.9454510191048899</v>
      </c>
      <c r="G423">
        <v>1.0545489808951101</v>
      </c>
      <c r="I423" t="s">
        <v>213</v>
      </c>
      <c r="J423" t="s">
        <v>23</v>
      </c>
      <c r="K423">
        <v>-2.5432043091189199E-4</v>
      </c>
      <c r="L423">
        <v>3.08927021549011E-2</v>
      </c>
      <c r="M423">
        <v>0.99363317514492999</v>
      </c>
      <c r="N423">
        <v>-5.6191305002386898</v>
      </c>
      <c r="O423">
        <v>0.46800128333134799</v>
      </c>
      <c r="P423">
        <v>-1.61913050023869</v>
      </c>
      <c r="R423" t="s">
        <v>213</v>
      </c>
      <c r="S423" t="s">
        <v>23</v>
      </c>
      <c r="T423">
        <v>1.5632439334007001E-2</v>
      </c>
      <c r="U423">
        <v>3.3176080867312302E-2</v>
      </c>
      <c r="V423">
        <v>0.650082664196178</v>
      </c>
      <c r="W423">
        <v>-5.1116259391919696</v>
      </c>
      <c r="X423">
        <v>0.37308112865397902</v>
      </c>
      <c r="Y423">
        <v>-1.1116259391919701</v>
      </c>
      <c r="AA423" t="str">
        <f t="shared" si="12"/>
        <v xml:space="preserve">P &amp; OU </v>
      </c>
      <c r="AC423">
        <f t="shared" si="13"/>
        <v>0.650082664196178</v>
      </c>
    </row>
    <row r="424" spans="1:29" x14ac:dyDescent="0.2">
      <c r="A424" t="s">
        <v>213</v>
      </c>
      <c r="B424" t="s">
        <v>220</v>
      </c>
      <c r="C424">
        <v>1.00023165088876E-4</v>
      </c>
      <c r="D424">
        <v>1.74592971953634E-4</v>
      </c>
      <c r="E424">
        <v>0.58245645719235695</v>
      </c>
      <c r="F424">
        <v>-3.1890224727432601</v>
      </c>
      <c r="G424">
        <v>0.810977527256735</v>
      </c>
      <c r="I424" t="s">
        <v>213</v>
      </c>
      <c r="J424" t="s">
        <v>220</v>
      </c>
      <c r="K424" s="23">
        <v>-1.56773535862508E-5</v>
      </c>
      <c r="L424">
        <v>1.5370980211783599E-4</v>
      </c>
      <c r="M424">
        <v>0.92127219166459795</v>
      </c>
      <c r="N424">
        <v>-5.6290380774513604</v>
      </c>
      <c r="O424">
        <v>0.44521766144644598</v>
      </c>
      <c r="P424">
        <v>-1.62903807745136</v>
      </c>
      <c r="R424" t="s">
        <v>213</v>
      </c>
      <c r="S424" t="s">
        <v>220</v>
      </c>
      <c r="T424" s="23">
        <v>-9.9522153999654703E-5</v>
      </c>
      <c r="U424">
        <v>1.58087545474651E-4</v>
      </c>
      <c r="V424">
        <v>0.54655056441985195</v>
      </c>
      <c r="W424">
        <v>-5.19650060646625</v>
      </c>
      <c r="X424">
        <v>0.56091158353444004</v>
      </c>
      <c r="Y424">
        <v>-1.19650060646625</v>
      </c>
      <c r="AA424" t="str">
        <f t="shared" si="12"/>
        <v xml:space="preserve">P &amp; OU </v>
      </c>
      <c r="AC424">
        <f t="shared" si="13"/>
        <v>0.54655056441985195</v>
      </c>
    </row>
    <row r="425" spans="1:29" x14ac:dyDescent="0.2">
      <c r="A425" t="s">
        <v>214</v>
      </c>
      <c r="B425" t="s">
        <v>215</v>
      </c>
      <c r="C425">
        <v>-47.022676280604301</v>
      </c>
      <c r="D425">
        <v>62.6708507051233</v>
      </c>
      <c r="E425">
        <v>0.47455361389419598</v>
      </c>
      <c r="F425">
        <v>116.186407994777</v>
      </c>
      <c r="G425">
        <v>120.186407994777</v>
      </c>
      <c r="I425" t="s">
        <v>214</v>
      </c>
      <c r="J425" t="s">
        <v>215</v>
      </c>
      <c r="K425">
        <v>16.86946641954</v>
      </c>
      <c r="L425">
        <v>45.089186158594899</v>
      </c>
      <c r="M425">
        <v>0.71802521373217998</v>
      </c>
      <c r="N425">
        <v>113.12307304914999</v>
      </c>
      <c r="O425" s="23">
        <v>9.9999999999999903E-8</v>
      </c>
      <c r="P425">
        <v>117.12307304914999</v>
      </c>
      <c r="R425" t="s">
        <v>214</v>
      </c>
      <c r="S425" t="s">
        <v>215</v>
      </c>
      <c r="T425">
        <v>11.267895953387301</v>
      </c>
      <c r="U425">
        <v>45.195768587312003</v>
      </c>
      <c r="V425">
        <v>0.80940047980147301</v>
      </c>
      <c r="W425">
        <v>112.892023798634</v>
      </c>
      <c r="X425">
        <v>0.66525973471334598</v>
      </c>
      <c r="Y425">
        <v>116.892023798634</v>
      </c>
      <c r="AA425" t="str">
        <f t="shared" si="12"/>
        <v xml:space="preserve">P &amp; OU </v>
      </c>
      <c r="AC425">
        <f t="shared" si="13"/>
        <v>0.47455361389419598</v>
      </c>
    </row>
    <row r="426" spans="1:29" x14ac:dyDescent="0.2">
      <c r="A426" t="s">
        <v>214</v>
      </c>
      <c r="B426" t="s">
        <v>25</v>
      </c>
      <c r="C426">
        <v>0.35977932359453801</v>
      </c>
      <c r="D426">
        <v>0.107933469747935</v>
      </c>
      <c r="E426">
        <v>1.0332899287142301E-2</v>
      </c>
      <c r="F426">
        <v>108.15814201902199</v>
      </c>
      <c r="G426">
        <v>112.15814201902199</v>
      </c>
      <c r="I426" t="s">
        <v>214</v>
      </c>
      <c r="J426" t="s">
        <v>25</v>
      </c>
      <c r="K426">
        <v>0.35977932359453801</v>
      </c>
      <c r="L426">
        <v>0.107933469747935</v>
      </c>
      <c r="M426">
        <v>1.0332899287142301E-2</v>
      </c>
      <c r="N426">
        <v>110.15814201902199</v>
      </c>
      <c r="O426">
        <v>1</v>
      </c>
      <c r="P426">
        <v>114.15814201902199</v>
      </c>
      <c r="R426" t="s">
        <v>214</v>
      </c>
      <c r="S426" t="s">
        <v>25</v>
      </c>
      <c r="T426">
        <v>0.31373882190378</v>
      </c>
      <c r="U426">
        <v>0.12720922802975801</v>
      </c>
      <c r="V426">
        <v>3.8933118487322102E-2</v>
      </c>
      <c r="W426">
        <v>109.241881041491</v>
      </c>
      <c r="X426">
        <v>0.16482055872527299</v>
      </c>
      <c r="Y426">
        <v>113.241881041491</v>
      </c>
      <c r="AA426" t="str">
        <f t="shared" si="12"/>
        <v xml:space="preserve"> </v>
      </c>
      <c r="AC426">
        <f t="shared" si="13"/>
        <v>1.0332899287142301E-2</v>
      </c>
    </row>
    <row r="427" spans="1:29" x14ac:dyDescent="0.2">
      <c r="A427" t="s">
        <v>214</v>
      </c>
      <c r="B427" t="s">
        <v>24</v>
      </c>
      <c r="C427">
        <v>13.478690293737801</v>
      </c>
      <c r="D427">
        <v>85.348155003473707</v>
      </c>
      <c r="E427">
        <v>0.87842860840078296</v>
      </c>
      <c r="F427">
        <v>116.83533359106799</v>
      </c>
      <c r="G427">
        <v>120.83533359106799</v>
      </c>
      <c r="I427" t="s">
        <v>214</v>
      </c>
      <c r="J427" t="s">
        <v>24</v>
      </c>
      <c r="K427">
        <v>-32.596738559768703</v>
      </c>
      <c r="L427">
        <v>67.753086953945001</v>
      </c>
      <c r="M427">
        <v>0.64332083574598897</v>
      </c>
      <c r="N427">
        <v>113.011303910659</v>
      </c>
      <c r="O427" s="23">
        <v>9.9999999999999903E-8</v>
      </c>
      <c r="P427">
        <v>117.011303910659</v>
      </c>
      <c r="R427" t="s">
        <v>214</v>
      </c>
      <c r="S427" t="s">
        <v>24</v>
      </c>
      <c r="T427">
        <v>-27.942031942354699</v>
      </c>
      <c r="U427">
        <v>67.154799974434795</v>
      </c>
      <c r="V427">
        <v>0.68828656115040598</v>
      </c>
      <c r="W427">
        <v>112.754002486555</v>
      </c>
      <c r="X427">
        <v>0.65826030795429902</v>
      </c>
      <c r="Y427">
        <v>116.754002486555</v>
      </c>
      <c r="AA427" t="str">
        <f t="shared" si="12"/>
        <v xml:space="preserve">P &amp; OU </v>
      </c>
      <c r="AC427">
        <f t="shared" si="13"/>
        <v>0.64332083574598897</v>
      </c>
    </row>
    <row r="428" spans="1:29" x14ac:dyDescent="0.2">
      <c r="A428" t="s">
        <v>214</v>
      </c>
      <c r="B428" t="s">
        <v>23</v>
      </c>
      <c r="C428">
        <v>1.25599187572438</v>
      </c>
      <c r="D428">
        <v>14.8043128974286</v>
      </c>
      <c r="E428">
        <v>0.93447364623278195</v>
      </c>
      <c r="F428">
        <v>116.85746771045299</v>
      </c>
      <c r="G428">
        <v>120.85746771045299</v>
      </c>
      <c r="I428" t="s">
        <v>214</v>
      </c>
      <c r="J428" t="s">
        <v>23</v>
      </c>
      <c r="K428">
        <v>-1.2841896158599899</v>
      </c>
      <c r="L428">
        <v>12.307146544319201</v>
      </c>
      <c r="M428">
        <v>0.91946413420913597</v>
      </c>
      <c r="N428">
        <v>113.282931233748</v>
      </c>
      <c r="O428" s="23">
        <v>3.9598326176108001E-7</v>
      </c>
      <c r="P428">
        <v>117.282931233748</v>
      </c>
      <c r="R428" t="s">
        <v>214</v>
      </c>
      <c r="S428" t="s">
        <v>23</v>
      </c>
      <c r="T428">
        <v>-0.193513944723918</v>
      </c>
      <c r="U428">
        <v>12.141097038639501</v>
      </c>
      <c r="V428">
        <v>0.98767358691836205</v>
      </c>
      <c r="W428">
        <v>112.96348926303401</v>
      </c>
      <c r="X428">
        <v>0.61461301604475105</v>
      </c>
      <c r="Y428">
        <v>116.96348926303401</v>
      </c>
      <c r="AA428" t="str">
        <f t="shared" si="12"/>
        <v xml:space="preserve">P &amp; OU </v>
      </c>
      <c r="AC428">
        <f t="shared" si="13"/>
        <v>0.91946413420913597</v>
      </c>
    </row>
    <row r="429" spans="1:29" x14ac:dyDescent="0.2">
      <c r="A429" t="s">
        <v>214</v>
      </c>
      <c r="B429" t="s">
        <v>220</v>
      </c>
      <c r="C429">
        <v>5.2431674768032802E-2</v>
      </c>
      <c r="D429">
        <v>6.8155515551562504E-2</v>
      </c>
      <c r="E429">
        <v>0.46382382718703302</v>
      </c>
      <c r="F429">
        <v>116.152777048244</v>
      </c>
      <c r="G429">
        <v>120.152777048244</v>
      </c>
      <c r="I429" t="s">
        <v>214</v>
      </c>
      <c r="J429" t="s">
        <v>220</v>
      </c>
      <c r="K429">
        <v>-1.84164223786243E-2</v>
      </c>
      <c r="L429">
        <v>5.8514175062169202E-2</v>
      </c>
      <c r="M429">
        <v>0.76101544565568902</v>
      </c>
      <c r="N429">
        <v>113.173469826174</v>
      </c>
      <c r="O429" s="23">
        <v>9.9999999999999903E-8</v>
      </c>
      <c r="P429">
        <v>117.173469826174</v>
      </c>
      <c r="R429" t="s">
        <v>214</v>
      </c>
      <c r="S429" t="s">
        <v>220</v>
      </c>
      <c r="T429">
        <v>-1.08920063314321E-2</v>
      </c>
      <c r="U429">
        <v>5.7998717881026E-2</v>
      </c>
      <c r="V429">
        <v>0.85571139321409695</v>
      </c>
      <c r="W429">
        <v>112.923254155851</v>
      </c>
      <c r="X429">
        <v>0.653186124066226</v>
      </c>
      <c r="Y429">
        <v>116.923254155851</v>
      </c>
      <c r="AA429" t="str">
        <f t="shared" si="12"/>
        <v xml:space="preserve">P &amp; OU </v>
      </c>
      <c r="AC429">
        <f t="shared" si="13"/>
        <v>0.46382382718703302</v>
      </c>
    </row>
    <row r="430" spans="1:29" x14ac:dyDescent="0.2">
      <c r="A430" t="s">
        <v>215</v>
      </c>
      <c r="B430" t="s">
        <v>25</v>
      </c>
      <c r="C430">
        <v>-2.2246403046463601E-4</v>
      </c>
      <c r="D430">
        <v>9.0624916947463E-4</v>
      </c>
      <c r="E430">
        <v>0.81226668339224795</v>
      </c>
      <c r="F430">
        <v>12.5590219048539</v>
      </c>
      <c r="G430">
        <v>16.5590219048539</v>
      </c>
      <c r="I430" t="s">
        <v>215</v>
      </c>
      <c r="J430" t="s">
        <v>25</v>
      </c>
      <c r="K430" s="23">
        <v>-4.37518337105397E-5</v>
      </c>
      <c r="L430">
        <v>1.12009885704217E-3</v>
      </c>
      <c r="M430">
        <v>0.969799178668735</v>
      </c>
      <c r="N430">
        <v>13.728640068451799</v>
      </c>
      <c r="O430">
        <v>0.59983971924342405</v>
      </c>
      <c r="P430">
        <v>17.728640068451799</v>
      </c>
      <c r="R430" t="s">
        <v>215</v>
      </c>
      <c r="S430" t="s">
        <v>25</v>
      </c>
      <c r="T430">
        <v>-1.64182387062936E-4</v>
      </c>
      <c r="U430">
        <v>1.01451599396297E-3</v>
      </c>
      <c r="V430">
        <v>0.87544982448503395</v>
      </c>
      <c r="W430">
        <v>13.857616572051599</v>
      </c>
      <c r="X430">
        <v>0.102775277984373</v>
      </c>
      <c r="Y430">
        <v>17.857616572051601</v>
      </c>
      <c r="AA430" t="str">
        <f t="shared" si="12"/>
        <v xml:space="preserve"> </v>
      </c>
      <c r="AC430">
        <f t="shared" si="13"/>
        <v>0.81226668339224795</v>
      </c>
    </row>
    <row r="431" spans="1:29" x14ac:dyDescent="0.2">
      <c r="A431" t="s">
        <v>215</v>
      </c>
      <c r="B431" t="s">
        <v>24</v>
      </c>
      <c r="C431">
        <v>-1.13594829709797</v>
      </c>
      <c r="D431">
        <v>0.23656946238823301</v>
      </c>
      <c r="E431">
        <v>1.3525017690840201E-3</v>
      </c>
      <c r="F431">
        <v>-0.929711138200641</v>
      </c>
      <c r="G431">
        <v>3.07028886179936</v>
      </c>
      <c r="I431" t="s">
        <v>215</v>
      </c>
      <c r="J431" t="s">
        <v>24</v>
      </c>
      <c r="K431">
        <v>-1.1306731832191199</v>
      </c>
      <c r="L431">
        <v>0.23393733315169399</v>
      </c>
      <c r="M431">
        <v>1.2992748032766099E-3</v>
      </c>
      <c r="N431">
        <v>7.1176726556430495E-2</v>
      </c>
      <c r="O431">
        <v>0.61781251572004303</v>
      </c>
      <c r="P431">
        <v>4.0711767265564296</v>
      </c>
      <c r="R431" t="s">
        <v>215</v>
      </c>
      <c r="S431" t="s">
        <v>24</v>
      </c>
      <c r="T431">
        <v>-1.17405323628477</v>
      </c>
      <c r="U431">
        <v>0.237750408537136</v>
      </c>
      <c r="V431">
        <v>1.1376717676834301E-3</v>
      </c>
      <c r="W431">
        <v>-5.0050001625347597E-2</v>
      </c>
      <c r="X431">
        <v>0.133958803158686</v>
      </c>
      <c r="Y431">
        <v>3.9499499983746502</v>
      </c>
      <c r="AA431" t="str">
        <f t="shared" si="12"/>
        <v xml:space="preserve"> </v>
      </c>
      <c r="AC431">
        <f t="shared" si="13"/>
        <v>1.1376717676834301E-3</v>
      </c>
    </row>
    <row r="432" spans="1:29" x14ac:dyDescent="0.2">
      <c r="A432" t="s">
        <v>215</v>
      </c>
      <c r="B432" t="s">
        <v>23</v>
      </c>
      <c r="C432">
        <v>0.14177911715694699</v>
      </c>
      <c r="D432">
        <v>6.3322963816866806E-2</v>
      </c>
      <c r="E432">
        <v>5.5513361677467302E-2</v>
      </c>
      <c r="F432">
        <v>7.7689519422838904</v>
      </c>
      <c r="G432">
        <v>11.7689519422839</v>
      </c>
      <c r="I432" t="s">
        <v>215</v>
      </c>
      <c r="J432" t="s">
        <v>23</v>
      </c>
      <c r="K432">
        <v>0.14935912626768699</v>
      </c>
      <c r="L432">
        <v>6.1201237143062602E-2</v>
      </c>
      <c r="M432">
        <v>4.0535459001996101E-2</v>
      </c>
      <c r="N432">
        <v>8.1828537318443093</v>
      </c>
      <c r="O432">
        <v>0.54148595846595804</v>
      </c>
      <c r="P432">
        <v>12.1828537318443</v>
      </c>
      <c r="R432" t="s">
        <v>215</v>
      </c>
      <c r="S432" t="s">
        <v>23</v>
      </c>
      <c r="T432">
        <v>0.16107398858232999</v>
      </c>
      <c r="U432">
        <v>6.3727503327282206E-2</v>
      </c>
      <c r="V432">
        <v>3.53905976222013E-2</v>
      </c>
      <c r="W432">
        <v>8.2136040077425907</v>
      </c>
      <c r="X432">
        <v>0.17180690980914601</v>
      </c>
      <c r="Y432">
        <v>12.2136040077426</v>
      </c>
      <c r="AA432" t="str">
        <f t="shared" si="12"/>
        <v xml:space="preserve"> </v>
      </c>
      <c r="AC432">
        <f t="shared" si="13"/>
        <v>3.53905976222013E-2</v>
      </c>
    </row>
    <row r="433" spans="1:29" x14ac:dyDescent="0.2">
      <c r="A433" t="s">
        <v>215</v>
      </c>
      <c r="B433" t="s">
        <v>220</v>
      </c>
      <c r="C433">
        <v>-9.7774624982930897E-4</v>
      </c>
      <c r="D433">
        <v>1.6981100497982701E-4</v>
      </c>
      <c r="E433">
        <v>4.2515484449935599E-4</v>
      </c>
      <c r="F433">
        <v>-3.7444486152224599</v>
      </c>
      <c r="G433">
        <v>0.25555138477754402</v>
      </c>
      <c r="I433" t="s">
        <v>215</v>
      </c>
      <c r="J433" t="s">
        <v>220</v>
      </c>
      <c r="K433">
        <v>-1.01533449566117E-3</v>
      </c>
      <c r="L433">
        <v>1.7540036389021099E-4</v>
      </c>
      <c r="M433">
        <v>4.1043414025028198E-4</v>
      </c>
      <c r="N433">
        <v>-2.7313358235566199</v>
      </c>
      <c r="O433">
        <v>0.57639025314399395</v>
      </c>
      <c r="P433">
        <v>1.2686641764433799</v>
      </c>
      <c r="R433" t="s">
        <v>215</v>
      </c>
      <c r="S433" t="s">
        <v>220</v>
      </c>
      <c r="T433">
        <v>-1.0269464558464599E-3</v>
      </c>
      <c r="U433">
        <v>1.7549662189139399E-4</v>
      </c>
      <c r="V433">
        <v>3.8205848287114298E-4</v>
      </c>
      <c r="W433">
        <v>-2.7203688461062501</v>
      </c>
      <c r="X433">
        <v>0.128699546187311</v>
      </c>
      <c r="Y433">
        <v>1.2796311538937499</v>
      </c>
      <c r="AA433" t="str">
        <f t="shared" si="12"/>
        <v xml:space="preserve"> </v>
      </c>
      <c r="AC433">
        <f t="shared" si="13"/>
        <v>3.8205848287114298E-4</v>
      </c>
    </row>
    <row r="434" spans="1:29" x14ac:dyDescent="0.2">
      <c r="A434" t="s">
        <v>25</v>
      </c>
      <c r="B434" t="s">
        <v>24</v>
      </c>
      <c r="C434">
        <v>-105.103912705011</v>
      </c>
      <c r="D434">
        <v>177.31125557468499</v>
      </c>
      <c r="E434">
        <v>0.56971079713205097</v>
      </c>
      <c r="F434">
        <v>131.458690833231</v>
      </c>
      <c r="G434">
        <v>135.458690833231</v>
      </c>
      <c r="I434" t="s">
        <v>25</v>
      </c>
      <c r="J434" t="s">
        <v>24</v>
      </c>
      <c r="K434">
        <v>-79.748102987781706</v>
      </c>
      <c r="L434">
        <v>127.958467569048</v>
      </c>
      <c r="M434">
        <v>0.55048101551850404</v>
      </c>
      <c r="N434">
        <v>125.72801824131299</v>
      </c>
      <c r="O434" s="23">
        <v>9.9999999999999903E-8</v>
      </c>
      <c r="P434">
        <v>129.72801824131301</v>
      </c>
      <c r="R434" t="s">
        <v>25</v>
      </c>
      <c r="S434" t="s">
        <v>24</v>
      </c>
      <c r="T434">
        <v>-79.748179585985795</v>
      </c>
      <c r="U434">
        <v>127.95912384858001</v>
      </c>
      <c r="V434">
        <v>0.55048263867460101</v>
      </c>
      <c r="W434">
        <v>125.728110752832</v>
      </c>
      <c r="X434">
        <v>4.23336542499095</v>
      </c>
      <c r="Y434">
        <v>129.72811075283201</v>
      </c>
      <c r="AA434" t="str">
        <f t="shared" si="12"/>
        <v xml:space="preserve">P &amp; OU </v>
      </c>
      <c r="AC434">
        <f t="shared" si="13"/>
        <v>0.55048101551850404</v>
      </c>
    </row>
    <row r="435" spans="1:29" x14ac:dyDescent="0.2">
      <c r="A435" t="s">
        <v>25</v>
      </c>
      <c r="B435" t="s">
        <v>23</v>
      </c>
      <c r="C435">
        <v>46.901134428926298</v>
      </c>
      <c r="D435">
        <v>26.652070071864699</v>
      </c>
      <c r="E435">
        <v>0.11649011441523301</v>
      </c>
      <c r="F435">
        <v>128.61643318108401</v>
      </c>
      <c r="G435">
        <v>132.61643318108401</v>
      </c>
      <c r="I435" t="s">
        <v>25</v>
      </c>
      <c r="J435" t="s">
        <v>23</v>
      </c>
      <c r="K435">
        <v>31.183317321723699</v>
      </c>
      <c r="L435">
        <v>20.7304232038442</v>
      </c>
      <c r="M435">
        <v>0.17093387835987101</v>
      </c>
      <c r="N435">
        <v>123.71137551197501</v>
      </c>
      <c r="O435" s="23">
        <v>2.20343052279832E-7</v>
      </c>
      <c r="P435">
        <v>127.71137551197501</v>
      </c>
      <c r="R435" t="s">
        <v>25</v>
      </c>
      <c r="S435" t="s">
        <v>23</v>
      </c>
      <c r="T435">
        <v>31.183417796355599</v>
      </c>
      <c r="U435">
        <v>20.730521961875802</v>
      </c>
      <c r="V435">
        <v>0.17093446313028801</v>
      </c>
      <c r="W435">
        <v>123.711470366954</v>
      </c>
      <c r="X435">
        <v>4.23336542499095</v>
      </c>
      <c r="Y435">
        <v>127.711470366954</v>
      </c>
      <c r="AA435" t="str">
        <f t="shared" si="12"/>
        <v xml:space="preserve">P &amp; OU </v>
      </c>
      <c r="AC435">
        <f t="shared" si="13"/>
        <v>0.11649011441523301</v>
      </c>
    </row>
    <row r="436" spans="1:29" x14ac:dyDescent="0.2">
      <c r="A436" t="s">
        <v>25</v>
      </c>
      <c r="B436" t="s">
        <v>220</v>
      </c>
      <c r="C436">
        <v>2.4771074773495699E-2</v>
      </c>
      <c r="D436">
        <v>0.149435581782142</v>
      </c>
      <c r="E436">
        <v>0.87245504848440603</v>
      </c>
      <c r="F436">
        <v>131.85424347801799</v>
      </c>
      <c r="G436">
        <v>135.85424347801799</v>
      </c>
      <c r="I436" t="s">
        <v>25</v>
      </c>
      <c r="J436" t="s">
        <v>220</v>
      </c>
      <c r="K436">
        <v>-1.0635817069328399E-2</v>
      </c>
      <c r="L436">
        <v>0.11218399953264099</v>
      </c>
      <c r="M436">
        <v>0.92679987472849301</v>
      </c>
      <c r="N436">
        <v>126.19089667852499</v>
      </c>
      <c r="O436" s="23">
        <v>9.9999999999999903E-8</v>
      </c>
      <c r="P436">
        <v>130.19089667852501</v>
      </c>
      <c r="R436" t="s">
        <v>25</v>
      </c>
      <c r="S436" t="s">
        <v>220</v>
      </c>
      <c r="T436">
        <v>-1.06352201740272E-2</v>
      </c>
      <c r="U436">
        <v>0.11218455828367301</v>
      </c>
      <c r="V436">
        <v>0.92680433232997705</v>
      </c>
      <c r="W436">
        <v>126.190986701238</v>
      </c>
      <c r="X436">
        <v>4.23336542499095</v>
      </c>
      <c r="Y436">
        <v>130.19098670123799</v>
      </c>
      <c r="AA436" t="str">
        <f t="shared" si="12"/>
        <v xml:space="preserve">P &amp; OU </v>
      </c>
      <c r="AC436">
        <f t="shared" si="13"/>
        <v>0.87245504848440603</v>
      </c>
    </row>
    <row r="437" spans="1:29" x14ac:dyDescent="0.2">
      <c r="A437" t="s">
        <v>24</v>
      </c>
      <c r="B437" t="s">
        <v>23</v>
      </c>
      <c r="C437">
        <v>-0.144282992880025</v>
      </c>
      <c r="D437">
        <v>3.3918179213334697E-2</v>
      </c>
      <c r="E437">
        <v>2.7845320651519101E-3</v>
      </c>
      <c r="F437">
        <v>-4.7169862626989101</v>
      </c>
      <c r="G437">
        <v>-0.71698626269891397</v>
      </c>
      <c r="I437" t="s">
        <v>24</v>
      </c>
      <c r="J437" t="s">
        <v>23</v>
      </c>
      <c r="K437">
        <v>-0.150422800838167</v>
      </c>
      <c r="L437">
        <v>3.4431879389586098E-2</v>
      </c>
      <c r="M437">
        <v>2.38461665877493E-3</v>
      </c>
      <c r="N437">
        <v>-4.2961198496910198</v>
      </c>
      <c r="O437" s="23">
        <v>9.9999999999999903E-8</v>
      </c>
      <c r="P437">
        <v>-0.29611984969102401</v>
      </c>
      <c r="R437" t="s">
        <v>24</v>
      </c>
      <c r="S437" t="s">
        <v>23</v>
      </c>
      <c r="T437">
        <v>-0.150983290564494</v>
      </c>
      <c r="U437">
        <v>3.3484236698205799E-2</v>
      </c>
      <c r="V437">
        <v>1.9782001089325399E-3</v>
      </c>
      <c r="W437">
        <v>-4.9245939350305896</v>
      </c>
      <c r="X437">
        <v>0.359091931251734</v>
      </c>
      <c r="Y437">
        <v>-0.92459393503059095</v>
      </c>
      <c r="AA437" t="str">
        <f t="shared" si="12"/>
        <v xml:space="preserve"> </v>
      </c>
      <c r="AC437">
        <f t="shared" si="13"/>
        <v>1.9782001089325399E-3</v>
      </c>
    </row>
    <row r="438" spans="1:29" x14ac:dyDescent="0.2">
      <c r="A438" t="s">
        <v>24</v>
      </c>
      <c r="B438" t="s">
        <v>220</v>
      </c>
      <c r="C438">
        <v>7.9442957618819105E-4</v>
      </c>
      <c r="D438" s="23">
        <v>8.0330506405026296E-5</v>
      </c>
      <c r="E438" s="23">
        <v>9.2217218579697394E-6</v>
      </c>
      <c r="F438">
        <v>-18.715181194759001</v>
      </c>
      <c r="G438">
        <v>-14.715181194758999</v>
      </c>
      <c r="I438" t="s">
        <v>24</v>
      </c>
      <c r="J438" t="s">
        <v>220</v>
      </c>
      <c r="K438">
        <v>8.3953802198677896E-4</v>
      </c>
      <c r="L438" s="23">
        <v>6.0259271370225702E-5</v>
      </c>
      <c r="M438" s="23">
        <v>6.8221141674533798E-7</v>
      </c>
      <c r="N438">
        <v>-24.393887582370802</v>
      </c>
      <c r="O438" s="23">
        <v>9.9999999999999903E-8</v>
      </c>
      <c r="P438">
        <v>-20.393887582370802</v>
      </c>
      <c r="R438" t="s">
        <v>24</v>
      </c>
      <c r="S438" t="s">
        <v>220</v>
      </c>
      <c r="T438">
        <v>8.3953782216848998E-4</v>
      </c>
      <c r="U438" s="23">
        <v>6.0259583213907602E-5</v>
      </c>
      <c r="V438" s="23">
        <v>6.8223990679542199E-7</v>
      </c>
      <c r="W438">
        <v>-24.3937936723494</v>
      </c>
      <c r="X438">
        <v>4.23336542499095</v>
      </c>
      <c r="Y438">
        <v>-20.3937936723494</v>
      </c>
      <c r="AA438" t="str">
        <f t="shared" si="12"/>
        <v xml:space="preserve">P &amp; OU </v>
      </c>
      <c r="AC438">
        <f t="shared" si="13"/>
        <v>6.8221141674533798E-7</v>
      </c>
    </row>
    <row r="439" spans="1:29" x14ac:dyDescent="0.2">
      <c r="A439" t="s">
        <v>23</v>
      </c>
      <c r="B439" t="s">
        <v>220</v>
      </c>
      <c r="C439">
        <v>-3.3645912300789699E-3</v>
      </c>
      <c r="D439">
        <v>1.1948633486725401E-3</v>
      </c>
      <c r="E439">
        <v>2.2637086871592299E-2</v>
      </c>
      <c r="F439">
        <v>35.277571825783802</v>
      </c>
      <c r="G439">
        <v>39.277571825783802</v>
      </c>
      <c r="I439" t="s">
        <v>23</v>
      </c>
      <c r="J439" t="s">
        <v>220</v>
      </c>
      <c r="K439">
        <v>-3.6338477007737701E-3</v>
      </c>
      <c r="L439">
        <v>1.0982429203369899E-3</v>
      </c>
      <c r="M439">
        <v>1.0717623519996101E-2</v>
      </c>
      <c r="N439">
        <v>33.662320304161902</v>
      </c>
      <c r="O439" s="23">
        <v>9.9999999999999903E-8</v>
      </c>
      <c r="P439">
        <v>37.662320304161902</v>
      </c>
      <c r="R439" t="s">
        <v>23</v>
      </c>
      <c r="S439" t="s">
        <v>220</v>
      </c>
      <c r="T439">
        <v>-3.6559808859508202E-3</v>
      </c>
      <c r="U439">
        <v>1.09406805438853E-3</v>
      </c>
      <c r="V439">
        <v>1.0206263906167501E-2</v>
      </c>
      <c r="W439">
        <v>33.486273539832602</v>
      </c>
      <c r="X439">
        <v>0.52971342564162305</v>
      </c>
      <c r="Y439">
        <v>37.486273539832602</v>
      </c>
      <c r="AA439" t="str">
        <f t="shared" si="12"/>
        <v xml:space="preserve"> </v>
      </c>
      <c r="AC439">
        <f t="shared" si="13"/>
        <v>1.0206263906167501E-2</v>
      </c>
    </row>
    <row r="440" spans="1:29" x14ac:dyDescent="0.2">
      <c r="AA440" t="str">
        <f t="shared" si="12"/>
        <v xml:space="preserve"> </v>
      </c>
    </row>
    <row r="441" spans="1:29" x14ac:dyDescent="0.2">
      <c r="AA441" t="str">
        <f t="shared" si="12"/>
        <v xml:space="preserve"> </v>
      </c>
    </row>
    <row r="442" spans="1:29" x14ac:dyDescent="0.2">
      <c r="AA442" t="str">
        <f t="shared" si="12"/>
        <v xml:space="preserve"> </v>
      </c>
    </row>
    <row r="443" spans="1:29" x14ac:dyDescent="0.2">
      <c r="AA443" t="str">
        <f t="shared" si="12"/>
        <v xml:space="preserve"> </v>
      </c>
    </row>
    <row r="444" spans="1:29" x14ac:dyDescent="0.2">
      <c r="AA444" t="str">
        <f t="shared" si="12"/>
        <v xml:space="preserve"> </v>
      </c>
    </row>
    <row r="445" spans="1:29" x14ac:dyDescent="0.2">
      <c r="AA445" t="str">
        <f t="shared" si="12"/>
        <v xml:space="preserve"> </v>
      </c>
    </row>
    <row r="446" spans="1:29" x14ac:dyDescent="0.2">
      <c r="AA446" t="str">
        <f t="shared" si="12"/>
        <v xml:space="preserve"> </v>
      </c>
    </row>
    <row r="447" spans="1:29" x14ac:dyDescent="0.2">
      <c r="AA447" t="str">
        <f t="shared" si="12"/>
        <v xml:space="preserve"> </v>
      </c>
    </row>
    <row r="448" spans="1:29" x14ac:dyDescent="0.2">
      <c r="AA448" t="str">
        <f t="shared" si="12"/>
        <v xml:space="preserve"> </v>
      </c>
    </row>
    <row r="449" spans="27:27" x14ac:dyDescent="0.2">
      <c r="AA449" t="str">
        <f t="shared" si="12"/>
        <v xml:space="preserve"> </v>
      </c>
    </row>
    <row r="450" spans="27:27" x14ac:dyDescent="0.2">
      <c r="AA450" t="str">
        <f t="shared" si="12"/>
        <v xml:space="preserve"> </v>
      </c>
    </row>
    <row r="451" spans="27:27" x14ac:dyDescent="0.2">
      <c r="AA451" t="str">
        <f t="shared" si="12"/>
        <v xml:space="preserve"> </v>
      </c>
    </row>
    <row r="452" spans="27:27" x14ac:dyDescent="0.2">
      <c r="AA452" t="str">
        <f t="shared" si="12"/>
        <v xml:space="preserve"> </v>
      </c>
    </row>
    <row r="453" spans="27:27" x14ac:dyDescent="0.2">
      <c r="AA453" t="str">
        <f t="shared" si="12"/>
        <v xml:space="preserve"> </v>
      </c>
    </row>
    <row r="454" spans="27:27" x14ac:dyDescent="0.2">
      <c r="AA454" t="str">
        <f t="shared" ref="AA454:AA455" si="14">IF(AND(G454-P454&lt;-2, G454-Y454&lt;-2), "BM", IF(OR(P454-G454&lt;-2, Y454-G454&lt;-2), IF(AND(P454-G454&lt;-2, Y454-G454&gt;-2), "P ", IF(AND(P454-G454&lt;-2, Y454-G454&lt;-2), "P &amp; OU ", "OU ")), " "))</f>
        <v xml:space="preserve"> </v>
      </c>
    </row>
    <row r="455" spans="27:27" x14ac:dyDescent="0.2">
      <c r="AA455" t="str">
        <f t="shared" si="14"/>
        <v xml:space="preserve"> </v>
      </c>
    </row>
  </sheetData>
  <conditionalFormatting sqref="AC4:AC1048576">
    <cfRule type="cellIs" dxfId="4" priority="1" operator="lessThan">
      <formula>0.05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5"/>
  <sheetViews>
    <sheetView workbookViewId="0">
      <selection activeCell="C13" sqref="C13"/>
    </sheetView>
  </sheetViews>
  <sheetFormatPr baseColWidth="10" defaultRowHeight="16" x14ac:dyDescent="0.2"/>
  <cols>
    <col min="2" max="2" width="14.1640625" customWidth="1"/>
  </cols>
  <sheetData>
    <row r="1" spans="1:5" x14ac:dyDescent="0.2">
      <c r="A1" s="12" t="s">
        <v>239</v>
      </c>
    </row>
    <row r="3" spans="1:5" x14ac:dyDescent="0.2">
      <c r="A3" t="s">
        <v>120</v>
      </c>
      <c r="B3" t="s">
        <v>121</v>
      </c>
      <c r="C3" t="s">
        <v>194</v>
      </c>
      <c r="D3" s="22"/>
      <c r="E3" t="s">
        <v>193</v>
      </c>
    </row>
    <row r="4" spans="1:5" x14ac:dyDescent="0.2">
      <c r="A4" s="25" t="s">
        <v>169</v>
      </c>
      <c r="B4" s="25"/>
      <c r="C4" s="24"/>
      <c r="D4" s="25"/>
      <c r="E4" s="24"/>
    </row>
    <row r="5" spans="1:5" x14ac:dyDescent="0.2">
      <c r="A5" t="s">
        <v>20</v>
      </c>
      <c r="B5" t="s">
        <v>24</v>
      </c>
      <c r="C5">
        <v>6.6420009999999998E-3</v>
      </c>
      <c r="E5">
        <v>2.5721708999999999E-2</v>
      </c>
    </row>
    <row r="6" spans="1:5" x14ac:dyDescent="0.2">
      <c r="A6" t="s">
        <v>20</v>
      </c>
      <c r="B6" t="s">
        <v>25</v>
      </c>
      <c r="C6">
        <v>0.70529545999999999</v>
      </c>
      <c r="E6">
        <v>0.76941322909090903</v>
      </c>
    </row>
    <row r="7" spans="1:5" x14ac:dyDescent="0.2">
      <c r="A7" t="s">
        <v>20</v>
      </c>
      <c r="B7" t="s">
        <v>23</v>
      </c>
      <c r="C7">
        <v>6.6205834000000005E-2</v>
      </c>
      <c r="E7">
        <v>0.13241166800000001</v>
      </c>
    </row>
    <row r="8" spans="1:5" x14ac:dyDescent="0.2">
      <c r="A8" t="s">
        <v>20</v>
      </c>
      <c r="B8" t="s">
        <v>220</v>
      </c>
      <c r="C8">
        <v>8.5739030000000008E-3</v>
      </c>
      <c r="E8">
        <v>2.5721708999999999E-2</v>
      </c>
    </row>
    <row r="9" spans="1:5" x14ac:dyDescent="0.2">
      <c r="A9" t="s">
        <v>21</v>
      </c>
      <c r="B9" t="s">
        <v>24</v>
      </c>
      <c r="C9">
        <v>0.60889322000000001</v>
      </c>
      <c r="E9">
        <v>0.76941322909090903</v>
      </c>
    </row>
    <row r="10" spans="1:5" x14ac:dyDescent="0.2">
      <c r="A10" t="s">
        <v>21</v>
      </c>
      <c r="B10" t="s">
        <v>25</v>
      </c>
      <c r="C10">
        <v>0.31808175999999999</v>
      </c>
      <c r="E10">
        <v>0.54528301714285698</v>
      </c>
    </row>
    <row r="11" spans="1:5" x14ac:dyDescent="0.2">
      <c r="A11" t="s">
        <v>21</v>
      </c>
      <c r="B11" t="s">
        <v>23</v>
      </c>
      <c r="C11">
        <v>0.48084615600000002</v>
      </c>
      <c r="E11">
        <v>0.72126923399999998</v>
      </c>
    </row>
    <row r="12" spans="1:5" x14ac:dyDescent="0.2">
      <c r="A12" t="s">
        <v>21</v>
      </c>
      <c r="B12" t="s">
        <v>220</v>
      </c>
      <c r="C12">
        <v>0.65430180100000002</v>
      </c>
      <c r="E12">
        <v>0.76941322909090903</v>
      </c>
    </row>
    <row r="13" spans="1:5" x14ac:dyDescent="0.2">
      <c r="A13" t="s">
        <v>215</v>
      </c>
      <c r="B13" t="s">
        <v>24</v>
      </c>
      <c r="C13">
        <v>1.1376719999999999E-3</v>
      </c>
      <c r="E13">
        <v>6.8260320000000001E-3</v>
      </c>
    </row>
    <row r="14" spans="1:5" x14ac:dyDescent="0.2">
      <c r="A14" t="s">
        <v>215</v>
      </c>
      <c r="B14" t="s">
        <v>25</v>
      </c>
      <c r="C14">
        <v>0.81226668300000004</v>
      </c>
      <c r="E14">
        <v>0.81226668300000004</v>
      </c>
    </row>
    <row r="15" spans="1:5" x14ac:dyDescent="0.2">
      <c r="A15" t="s">
        <v>215</v>
      </c>
      <c r="B15" t="s">
        <v>23</v>
      </c>
      <c r="C15">
        <v>3.5390598000000002E-2</v>
      </c>
      <c r="E15">
        <v>8.4937435199999994E-2</v>
      </c>
    </row>
    <row r="16" spans="1:5" x14ac:dyDescent="0.2">
      <c r="A16" t="s">
        <v>215</v>
      </c>
      <c r="B16" t="s">
        <v>220</v>
      </c>
      <c r="C16">
        <v>3.8205800000000001E-4</v>
      </c>
      <c r="E16">
        <v>4.5846960000000001E-3</v>
      </c>
    </row>
    <row r="18" spans="1:5" x14ac:dyDescent="0.2">
      <c r="A18" s="22" t="s">
        <v>170</v>
      </c>
    </row>
    <row r="19" spans="1:5" x14ac:dyDescent="0.2">
      <c r="A19" t="s">
        <v>197</v>
      </c>
      <c r="B19" t="s">
        <v>24</v>
      </c>
      <c r="C19">
        <v>3.8929296000000002E-2</v>
      </c>
      <c r="E19">
        <v>0.31366370222222201</v>
      </c>
    </row>
    <row r="20" spans="1:5" x14ac:dyDescent="0.2">
      <c r="A20" t="s">
        <v>197</v>
      </c>
      <c r="B20" t="s">
        <v>25</v>
      </c>
      <c r="C20">
        <v>0.46471716099999999</v>
      </c>
      <c r="E20">
        <v>0.76061853076923103</v>
      </c>
    </row>
    <row r="21" spans="1:5" x14ac:dyDescent="0.2">
      <c r="A21" t="s">
        <v>197</v>
      </c>
      <c r="B21" t="s">
        <v>23</v>
      </c>
      <c r="C21">
        <v>0.21609492299999999</v>
      </c>
      <c r="E21">
        <v>0.55586490249999998</v>
      </c>
    </row>
    <row r="22" spans="1:5" x14ac:dyDescent="0.2">
      <c r="A22" t="s">
        <v>197</v>
      </c>
      <c r="B22" t="s">
        <v>220</v>
      </c>
      <c r="C22">
        <v>5.8773908999999999E-2</v>
      </c>
      <c r="E22">
        <v>0.31366370222222201</v>
      </c>
    </row>
    <row r="23" spans="1:5" x14ac:dyDescent="0.2">
      <c r="A23" t="s">
        <v>217</v>
      </c>
      <c r="B23" t="s">
        <v>24</v>
      </c>
      <c r="C23">
        <v>0.43012056199999998</v>
      </c>
      <c r="E23">
        <v>0.76061853076923103</v>
      </c>
    </row>
    <row r="24" spans="1:5" x14ac:dyDescent="0.2">
      <c r="A24" t="s">
        <v>217</v>
      </c>
      <c r="B24" t="s">
        <v>25</v>
      </c>
      <c r="C24">
        <v>0.98540645100000002</v>
      </c>
      <c r="E24">
        <v>0.98540645100000002</v>
      </c>
    </row>
    <row r="25" spans="1:5" x14ac:dyDescent="0.2">
      <c r="A25" t="s">
        <v>217</v>
      </c>
      <c r="B25" t="s">
        <v>23</v>
      </c>
      <c r="C25">
        <v>0.119470167</v>
      </c>
      <c r="E25">
        <v>0.39067771384615402</v>
      </c>
    </row>
    <row r="26" spans="1:5" x14ac:dyDescent="0.2">
      <c r="A26" t="s">
        <v>217</v>
      </c>
      <c r="B26" t="s">
        <v>220</v>
      </c>
      <c r="C26">
        <v>0.41126060599999997</v>
      </c>
      <c r="E26">
        <v>0.76061853076923103</v>
      </c>
    </row>
    <row r="27" spans="1:5" x14ac:dyDescent="0.2">
      <c r="A27" t="s">
        <v>2</v>
      </c>
      <c r="B27" t="s">
        <v>24</v>
      </c>
      <c r="C27">
        <v>0.39424151099999999</v>
      </c>
      <c r="E27">
        <v>0.76061853076923103</v>
      </c>
    </row>
    <row r="28" spans="1:5" x14ac:dyDescent="0.2">
      <c r="A28" t="s">
        <v>2</v>
      </c>
      <c r="B28" t="s">
        <v>25</v>
      </c>
      <c r="C28">
        <v>0.49440204500000001</v>
      </c>
      <c r="E28">
        <v>0.76061853076923103</v>
      </c>
    </row>
    <row r="29" spans="1:5" x14ac:dyDescent="0.2">
      <c r="A29" t="s">
        <v>2</v>
      </c>
      <c r="B29" t="s">
        <v>23</v>
      </c>
      <c r="C29">
        <v>7.0574333000000003E-2</v>
      </c>
      <c r="E29">
        <v>0.31366370222222201</v>
      </c>
    </row>
    <row r="30" spans="1:5" x14ac:dyDescent="0.2">
      <c r="A30" t="s">
        <v>2</v>
      </c>
      <c r="B30" t="s">
        <v>220</v>
      </c>
      <c r="C30">
        <v>0.48164184999999998</v>
      </c>
      <c r="E30">
        <v>0.76061853076923103</v>
      </c>
    </row>
    <row r="31" spans="1:5" x14ac:dyDescent="0.2">
      <c r="A31" t="s">
        <v>19</v>
      </c>
      <c r="B31" t="s">
        <v>24</v>
      </c>
      <c r="C31">
        <v>0.52049828200000003</v>
      </c>
      <c r="E31">
        <v>0.77110856592592603</v>
      </c>
    </row>
    <row r="32" spans="1:5" x14ac:dyDescent="0.2">
      <c r="A32" t="s">
        <v>19</v>
      </c>
      <c r="B32" t="s">
        <v>25</v>
      </c>
      <c r="C32">
        <v>3.9241484E-2</v>
      </c>
      <c r="E32">
        <v>0.31366370222222201</v>
      </c>
    </row>
    <row r="33" spans="1:5" x14ac:dyDescent="0.2">
      <c r="A33" t="s">
        <v>19</v>
      </c>
      <c r="B33" t="s">
        <v>23</v>
      </c>
      <c r="C33">
        <v>0.821844935</v>
      </c>
      <c r="E33">
        <v>0.86509993157894705</v>
      </c>
    </row>
    <row r="34" spans="1:5" x14ac:dyDescent="0.2">
      <c r="A34" t="s">
        <v>19</v>
      </c>
      <c r="B34" t="s">
        <v>220</v>
      </c>
      <c r="C34">
        <v>0.22234596100000001</v>
      </c>
      <c r="E34">
        <v>0.55586490249999998</v>
      </c>
    </row>
    <row r="35" spans="1:5" x14ac:dyDescent="0.2">
      <c r="A35" t="s">
        <v>4</v>
      </c>
      <c r="B35" t="s">
        <v>24</v>
      </c>
      <c r="C35">
        <v>6.7328268999999996E-2</v>
      </c>
      <c r="E35">
        <v>0.31366370222222201</v>
      </c>
    </row>
    <row r="36" spans="1:5" x14ac:dyDescent="0.2">
      <c r="A36" t="s">
        <v>4</v>
      </c>
      <c r="B36" t="s">
        <v>25</v>
      </c>
      <c r="C36">
        <v>0.728214103</v>
      </c>
      <c r="E36">
        <v>0.83224468914285699</v>
      </c>
    </row>
    <row r="37" spans="1:5" x14ac:dyDescent="0.2">
      <c r="A37" t="s">
        <v>4</v>
      </c>
      <c r="B37" t="s">
        <v>23</v>
      </c>
      <c r="C37">
        <v>0.126970257</v>
      </c>
      <c r="E37">
        <v>0.39067771384615402</v>
      </c>
    </row>
    <row r="38" spans="1:5" x14ac:dyDescent="0.2">
      <c r="A38" t="s">
        <v>4</v>
      </c>
      <c r="B38" t="s">
        <v>220</v>
      </c>
      <c r="C38">
        <v>5.3332473999999998E-2</v>
      </c>
      <c r="E38">
        <v>0.31366370222222201</v>
      </c>
    </row>
    <row r="39" spans="1:5" x14ac:dyDescent="0.2">
      <c r="A39" t="s">
        <v>3</v>
      </c>
      <c r="B39" t="s">
        <v>24</v>
      </c>
      <c r="C39">
        <v>0.11013679</v>
      </c>
      <c r="E39">
        <v>0.39067771384615402</v>
      </c>
    </row>
    <row r="40" spans="1:5" x14ac:dyDescent="0.2">
      <c r="A40" t="s">
        <v>3</v>
      </c>
      <c r="B40" t="s">
        <v>25</v>
      </c>
      <c r="C40">
        <v>0.689698378</v>
      </c>
      <c r="E40">
        <v>0.81140985647058805</v>
      </c>
    </row>
    <row r="41" spans="1:5" x14ac:dyDescent="0.2">
      <c r="A41" t="s">
        <v>3</v>
      </c>
      <c r="B41" t="s">
        <v>23</v>
      </c>
      <c r="C41">
        <v>0.15961556599999999</v>
      </c>
      <c r="E41">
        <v>0.45604447428571399</v>
      </c>
    </row>
    <row r="42" spans="1:5" x14ac:dyDescent="0.2">
      <c r="A42" t="s">
        <v>3</v>
      </c>
      <c r="B42" t="s">
        <v>220</v>
      </c>
      <c r="C42">
        <v>8.7762167000000002E-2</v>
      </c>
      <c r="E42">
        <v>0.35104866800000001</v>
      </c>
    </row>
    <row r="43" spans="1:5" x14ac:dyDescent="0.2">
      <c r="A43" t="s">
        <v>211</v>
      </c>
      <c r="B43" t="s">
        <v>24</v>
      </c>
      <c r="C43">
        <v>0.78227879499999997</v>
      </c>
      <c r="E43">
        <v>0.86509993157894705</v>
      </c>
    </row>
    <row r="44" spans="1:5" x14ac:dyDescent="0.2">
      <c r="A44" t="s">
        <v>211</v>
      </c>
      <c r="B44" t="s">
        <v>25</v>
      </c>
      <c r="C44">
        <v>6.1784520000000001E-3</v>
      </c>
      <c r="E44">
        <v>0.13777198666666701</v>
      </c>
    </row>
    <row r="45" spans="1:5" x14ac:dyDescent="0.2">
      <c r="A45" t="s">
        <v>211</v>
      </c>
      <c r="B45" t="s">
        <v>23</v>
      </c>
      <c r="C45">
        <v>0.807150488</v>
      </c>
      <c r="E45">
        <v>0.86509993157894705</v>
      </c>
    </row>
    <row r="46" spans="1:5" x14ac:dyDescent="0.2">
      <c r="A46" t="s">
        <v>211</v>
      </c>
      <c r="B46" t="s">
        <v>220</v>
      </c>
      <c r="C46">
        <v>0.356066624</v>
      </c>
      <c r="E46">
        <v>0.76061853076923103</v>
      </c>
    </row>
    <row r="47" spans="1:5" x14ac:dyDescent="0.2">
      <c r="A47" t="s">
        <v>212</v>
      </c>
      <c r="B47" t="s">
        <v>24</v>
      </c>
      <c r="C47">
        <v>0.61173166499999998</v>
      </c>
      <c r="E47">
        <v>0.78797898666666699</v>
      </c>
    </row>
    <row r="48" spans="1:5" x14ac:dyDescent="0.2">
      <c r="A48" t="s">
        <v>212</v>
      </c>
      <c r="B48" t="s">
        <v>25</v>
      </c>
      <c r="C48">
        <v>0.38772129399999999</v>
      </c>
      <c r="E48">
        <v>0.76061853076923103</v>
      </c>
    </row>
    <row r="49" spans="1:5" x14ac:dyDescent="0.2">
      <c r="A49" t="s">
        <v>212</v>
      </c>
      <c r="B49" t="s">
        <v>23</v>
      </c>
      <c r="C49">
        <v>0.62205258699999999</v>
      </c>
      <c r="E49">
        <v>0.78797898666666699</v>
      </c>
    </row>
    <row r="50" spans="1:5" x14ac:dyDescent="0.2">
      <c r="A50" t="s">
        <v>212</v>
      </c>
      <c r="B50" t="s">
        <v>220</v>
      </c>
      <c r="C50">
        <v>0.58940587899999997</v>
      </c>
      <c r="E50">
        <v>0.78797898666666699</v>
      </c>
    </row>
    <row r="51" spans="1:5" x14ac:dyDescent="0.2">
      <c r="A51" t="s">
        <v>213</v>
      </c>
      <c r="B51" t="s">
        <v>24</v>
      </c>
      <c r="C51">
        <v>0.45560594199999999</v>
      </c>
      <c r="E51">
        <v>0.76061853076923103</v>
      </c>
    </row>
    <row r="52" spans="1:5" x14ac:dyDescent="0.2">
      <c r="A52" t="s">
        <v>213</v>
      </c>
      <c r="B52" t="s">
        <v>25</v>
      </c>
      <c r="C52">
        <v>7.4516490000000003E-3</v>
      </c>
      <c r="E52">
        <v>0.13777198666666701</v>
      </c>
    </row>
    <row r="53" spans="1:5" x14ac:dyDescent="0.2">
      <c r="A53" t="s">
        <v>213</v>
      </c>
      <c r="B53" t="s">
        <v>23</v>
      </c>
      <c r="C53">
        <v>0.65008266400000003</v>
      </c>
      <c r="E53">
        <v>0.78797898666666699</v>
      </c>
    </row>
    <row r="54" spans="1:5" x14ac:dyDescent="0.2">
      <c r="A54" t="s">
        <v>213</v>
      </c>
      <c r="B54" t="s">
        <v>220</v>
      </c>
      <c r="C54">
        <v>0.54655056400000002</v>
      </c>
      <c r="E54">
        <v>0.78078652000000004</v>
      </c>
    </row>
    <row r="55" spans="1:5" x14ac:dyDescent="0.2">
      <c r="A55" t="s">
        <v>218</v>
      </c>
      <c r="B55" t="s">
        <v>24</v>
      </c>
      <c r="C55">
        <v>0.64332083600000001</v>
      </c>
      <c r="E55">
        <v>0.78797898666666699</v>
      </c>
    </row>
    <row r="56" spans="1:5" x14ac:dyDescent="0.2">
      <c r="A56" t="s">
        <v>218</v>
      </c>
      <c r="B56" t="s">
        <v>25</v>
      </c>
      <c r="C56">
        <v>1.0332899E-2</v>
      </c>
      <c r="E56">
        <v>0.13777198666666701</v>
      </c>
    </row>
    <row r="57" spans="1:5" x14ac:dyDescent="0.2">
      <c r="A57" t="s">
        <v>218</v>
      </c>
      <c r="B57" t="s">
        <v>23</v>
      </c>
      <c r="C57">
        <v>0.91946413400000004</v>
      </c>
      <c r="E57">
        <v>0.94304013743589699</v>
      </c>
    </row>
    <row r="58" spans="1:5" x14ac:dyDescent="0.2">
      <c r="A58" t="s">
        <v>218</v>
      </c>
      <c r="B58" t="s">
        <v>220</v>
      </c>
      <c r="C58">
        <v>0.46382382700000002</v>
      </c>
      <c r="E58">
        <v>0.76061853076923103</v>
      </c>
    </row>
    <row r="60" spans="1:5" x14ac:dyDescent="0.2">
      <c r="A60" s="22" t="s">
        <v>171</v>
      </c>
    </row>
    <row r="61" spans="1:5" x14ac:dyDescent="0.2">
      <c r="A61" t="s">
        <v>198</v>
      </c>
      <c r="B61" t="s">
        <v>24</v>
      </c>
      <c r="C61">
        <v>6.1376016999999998E-2</v>
      </c>
      <c r="E61">
        <v>0.3989441105</v>
      </c>
    </row>
    <row r="62" spans="1:5" x14ac:dyDescent="0.2">
      <c r="A62" t="s">
        <v>198</v>
      </c>
      <c r="B62" t="s">
        <v>25</v>
      </c>
      <c r="C62">
        <v>5.3016871E-2</v>
      </c>
      <c r="E62">
        <v>0.39383961314285698</v>
      </c>
    </row>
    <row r="63" spans="1:5" x14ac:dyDescent="0.2">
      <c r="A63" t="s">
        <v>198</v>
      </c>
      <c r="B63" t="s">
        <v>23</v>
      </c>
      <c r="C63">
        <v>1.0477284E-2</v>
      </c>
      <c r="E63">
        <v>0.18160625599999999</v>
      </c>
    </row>
    <row r="64" spans="1:5" x14ac:dyDescent="0.2">
      <c r="A64" t="s">
        <v>198</v>
      </c>
      <c r="B64" t="s">
        <v>220</v>
      </c>
      <c r="C64">
        <v>0.12993060200000001</v>
      </c>
      <c r="E64">
        <v>0.42227445650000001</v>
      </c>
    </row>
    <row r="65" spans="1:5" x14ac:dyDescent="0.2">
      <c r="A65" t="s">
        <v>199</v>
      </c>
      <c r="B65" t="s">
        <v>24</v>
      </c>
      <c r="C65">
        <v>0.21688570200000001</v>
      </c>
      <c r="E65">
        <v>0.51263893199999999</v>
      </c>
    </row>
    <row r="66" spans="1:5" x14ac:dyDescent="0.2">
      <c r="A66" t="s">
        <v>199</v>
      </c>
      <c r="B66" t="s">
        <v>25</v>
      </c>
      <c r="C66">
        <v>0.19639477599999999</v>
      </c>
      <c r="E66">
        <v>0.48631087390476202</v>
      </c>
    </row>
    <row r="67" spans="1:5" x14ac:dyDescent="0.2">
      <c r="A67" t="s">
        <v>199</v>
      </c>
      <c r="B67" t="s">
        <v>23</v>
      </c>
      <c r="C67">
        <v>0.124345837</v>
      </c>
      <c r="E67">
        <v>0.42227445650000001</v>
      </c>
    </row>
    <row r="68" spans="1:5" x14ac:dyDescent="0.2">
      <c r="A68" t="s">
        <v>199</v>
      </c>
      <c r="B68" t="s">
        <v>220</v>
      </c>
      <c r="C68">
        <v>0.29913468599999998</v>
      </c>
      <c r="E68">
        <v>0.59728348482758598</v>
      </c>
    </row>
    <row r="69" spans="1:5" x14ac:dyDescent="0.2">
      <c r="A69" t="s">
        <v>200</v>
      </c>
      <c r="B69" t="s">
        <v>24</v>
      </c>
      <c r="C69">
        <v>0.70255471199999997</v>
      </c>
      <c r="E69">
        <v>0.74556826579591795</v>
      </c>
    </row>
    <row r="70" spans="1:5" x14ac:dyDescent="0.2">
      <c r="A70" t="s">
        <v>200</v>
      </c>
      <c r="B70" t="s">
        <v>25</v>
      </c>
      <c r="C70">
        <v>0.123480275</v>
      </c>
      <c r="E70">
        <v>0.42227445650000001</v>
      </c>
    </row>
    <row r="71" spans="1:5" x14ac:dyDescent="0.2">
      <c r="A71" t="s">
        <v>200</v>
      </c>
      <c r="B71" t="s">
        <v>23</v>
      </c>
      <c r="C71">
        <v>0.41032214500000003</v>
      </c>
      <c r="E71">
        <v>0.62840149362162201</v>
      </c>
    </row>
    <row r="72" spans="1:5" x14ac:dyDescent="0.2">
      <c r="A72" t="s">
        <v>200</v>
      </c>
      <c r="B72" t="s">
        <v>220</v>
      </c>
      <c r="C72">
        <v>0.73973081500000004</v>
      </c>
      <c r="E72">
        <v>0.76932004759999995</v>
      </c>
    </row>
    <row r="73" spans="1:5" x14ac:dyDescent="0.2">
      <c r="A73" t="s">
        <v>219</v>
      </c>
      <c r="B73" t="s">
        <v>24</v>
      </c>
      <c r="C73">
        <v>0.11404449899999999</v>
      </c>
      <c r="E73">
        <v>0.42227445650000001</v>
      </c>
    </row>
    <row r="74" spans="1:5" x14ac:dyDescent="0.2">
      <c r="A74" t="s">
        <v>219</v>
      </c>
      <c r="B74" t="s">
        <v>25</v>
      </c>
      <c r="C74">
        <v>0.32991130000000002</v>
      </c>
      <c r="E74">
        <v>0.59728348482758598</v>
      </c>
    </row>
    <row r="75" spans="1:5" x14ac:dyDescent="0.2">
      <c r="A75" t="s">
        <v>219</v>
      </c>
      <c r="B75" t="s">
        <v>23</v>
      </c>
      <c r="C75">
        <v>0.44713183200000001</v>
      </c>
      <c r="E75">
        <v>0.62840149362162201</v>
      </c>
    </row>
    <row r="76" spans="1:5" x14ac:dyDescent="0.2">
      <c r="A76" t="s">
        <v>219</v>
      </c>
      <c r="B76" t="s">
        <v>220</v>
      </c>
      <c r="C76">
        <v>7.0710966E-2</v>
      </c>
      <c r="E76">
        <v>0.40387913279999998</v>
      </c>
    </row>
    <row r="77" spans="1:5" x14ac:dyDescent="0.2">
      <c r="A77" t="s">
        <v>202</v>
      </c>
      <c r="B77" t="s">
        <v>24</v>
      </c>
      <c r="C77">
        <v>0.43834704699999999</v>
      </c>
      <c r="E77">
        <v>0.62840149362162201</v>
      </c>
    </row>
    <row r="78" spans="1:5" x14ac:dyDescent="0.2">
      <c r="A78" t="s">
        <v>202</v>
      </c>
      <c r="B78" t="s">
        <v>25</v>
      </c>
      <c r="C78">
        <v>0.22949654899999999</v>
      </c>
      <c r="E78">
        <v>0.51886176295652198</v>
      </c>
    </row>
    <row r="79" spans="1:5" x14ac:dyDescent="0.2">
      <c r="A79" t="s">
        <v>202</v>
      </c>
      <c r="B79" t="s">
        <v>23</v>
      </c>
      <c r="C79">
        <v>0.30315271799999999</v>
      </c>
      <c r="E79">
        <v>0.59728348482758598</v>
      </c>
    </row>
    <row r="80" spans="1:5" x14ac:dyDescent="0.2">
      <c r="A80" t="s">
        <v>202</v>
      </c>
      <c r="B80" t="s">
        <v>220</v>
      </c>
      <c r="C80">
        <v>0.638213268</v>
      </c>
      <c r="E80">
        <v>0.71149401916666699</v>
      </c>
    </row>
    <row r="81" spans="1:5" x14ac:dyDescent="0.2">
      <c r="A81" t="s">
        <v>203</v>
      </c>
      <c r="B81" t="s">
        <v>24</v>
      </c>
      <c r="C81">
        <v>0.116585089</v>
      </c>
      <c r="E81">
        <v>0.42227445650000001</v>
      </c>
    </row>
    <row r="82" spans="1:5" x14ac:dyDescent="0.2">
      <c r="A82" t="s">
        <v>203</v>
      </c>
      <c r="B82" t="s">
        <v>25</v>
      </c>
      <c r="C82">
        <v>0.183418633</v>
      </c>
      <c r="E82">
        <v>0.48631087390476202</v>
      </c>
    </row>
    <row r="83" spans="1:5" x14ac:dyDescent="0.2">
      <c r="A83" t="s">
        <v>203</v>
      </c>
      <c r="B83" t="s">
        <v>23</v>
      </c>
      <c r="C83">
        <v>7.7669063999999996E-2</v>
      </c>
      <c r="E83">
        <v>0.40387913279999998</v>
      </c>
    </row>
    <row r="84" spans="1:5" x14ac:dyDescent="0.2">
      <c r="A84" t="s">
        <v>203</v>
      </c>
      <c r="B84" t="s">
        <v>220</v>
      </c>
      <c r="C84">
        <v>0.189398805</v>
      </c>
      <c r="E84">
        <v>0.48631087390476202</v>
      </c>
    </row>
    <row r="85" spans="1:5" x14ac:dyDescent="0.2">
      <c r="A85" t="s">
        <v>206</v>
      </c>
      <c r="B85" t="s">
        <v>24</v>
      </c>
      <c r="C85">
        <v>0.59026178100000004</v>
      </c>
      <c r="E85">
        <v>0.69758210481818195</v>
      </c>
    </row>
    <row r="86" spans="1:5" x14ac:dyDescent="0.2">
      <c r="A86" t="s">
        <v>206</v>
      </c>
      <c r="B86" t="s">
        <v>25</v>
      </c>
      <c r="C86">
        <v>0.51948103800000001</v>
      </c>
      <c r="E86">
        <v>0.66522594624390297</v>
      </c>
    </row>
    <row r="87" spans="1:5" x14ac:dyDescent="0.2">
      <c r="A87" t="s">
        <v>206</v>
      </c>
      <c r="B87" t="s">
        <v>23</v>
      </c>
      <c r="C87">
        <v>0.65392730700000001</v>
      </c>
      <c r="E87">
        <v>0.71149401916666699</v>
      </c>
    </row>
    <row r="88" spans="1:5" x14ac:dyDescent="0.2">
      <c r="A88" t="s">
        <v>206</v>
      </c>
      <c r="B88" t="s">
        <v>220</v>
      </c>
      <c r="C88">
        <v>0.37793582399999998</v>
      </c>
      <c r="E88">
        <v>0.62840149362162201</v>
      </c>
    </row>
    <row r="89" spans="1:5" x14ac:dyDescent="0.2">
      <c r="A89" t="s">
        <v>207</v>
      </c>
      <c r="B89" t="s">
        <v>24</v>
      </c>
      <c r="C89">
        <v>0.31618736400000003</v>
      </c>
      <c r="E89">
        <v>0.59728348482758598</v>
      </c>
    </row>
    <row r="90" spans="1:5" x14ac:dyDescent="0.2">
      <c r="A90" t="s">
        <v>207</v>
      </c>
      <c r="B90" t="s">
        <v>25</v>
      </c>
      <c r="C90">
        <v>0.28758855500000002</v>
      </c>
      <c r="E90">
        <v>0.59728348482758598</v>
      </c>
    </row>
    <row r="91" spans="1:5" x14ac:dyDescent="0.2">
      <c r="A91" t="s">
        <v>207</v>
      </c>
      <c r="B91" t="s">
        <v>23</v>
      </c>
      <c r="C91">
        <v>0.77148230699999998</v>
      </c>
      <c r="E91">
        <v>0.78660941105882298</v>
      </c>
    </row>
    <row r="92" spans="1:5" x14ac:dyDescent="0.2">
      <c r="A92" t="s">
        <v>207</v>
      </c>
      <c r="B92" t="s">
        <v>220</v>
      </c>
      <c r="C92">
        <v>0.42561598099999998</v>
      </c>
      <c r="E92">
        <v>0.62840149362162201</v>
      </c>
    </row>
    <row r="93" spans="1:5" x14ac:dyDescent="0.2">
      <c r="A93" t="s">
        <v>22</v>
      </c>
      <c r="B93" t="s">
        <v>24</v>
      </c>
      <c r="C93">
        <v>0.63817428399999998</v>
      </c>
      <c r="E93">
        <v>0.71149401916666699</v>
      </c>
    </row>
    <row r="94" spans="1:5" x14ac:dyDescent="0.2">
      <c r="A94" t="s">
        <v>22</v>
      </c>
      <c r="B94" t="s">
        <v>25</v>
      </c>
      <c r="C94">
        <v>0.15630219400000001</v>
      </c>
      <c r="E94">
        <v>0.458759016444444</v>
      </c>
    </row>
    <row r="95" spans="1:5" x14ac:dyDescent="0.2">
      <c r="A95" t="s">
        <v>22</v>
      </c>
      <c r="B95" t="s">
        <v>23</v>
      </c>
      <c r="C95">
        <v>0.52450507300000004</v>
      </c>
      <c r="E95">
        <v>0.66522594624390297</v>
      </c>
    </row>
    <row r="96" spans="1:5" x14ac:dyDescent="0.2">
      <c r="A96" t="s">
        <v>22</v>
      </c>
      <c r="B96" t="s">
        <v>220</v>
      </c>
      <c r="C96">
        <v>0.49290736099999999</v>
      </c>
      <c r="E96">
        <v>0.66522594624390297</v>
      </c>
    </row>
    <row r="97" spans="1:5" x14ac:dyDescent="0.2">
      <c r="A97" t="s">
        <v>204</v>
      </c>
      <c r="B97" t="s">
        <v>24</v>
      </c>
      <c r="C97">
        <v>0.38445932700000002</v>
      </c>
      <c r="E97">
        <v>0.62840149362162201</v>
      </c>
    </row>
    <row r="98" spans="1:5" x14ac:dyDescent="0.2">
      <c r="A98" t="s">
        <v>204</v>
      </c>
      <c r="B98" t="s">
        <v>25</v>
      </c>
      <c r="C98">
        <v>9.0346190000000007E-3</v>
      </c>
      <c r="E98">
        <v>0.18160625599999999</v>
      </c>
    </row>
    <row r="99" spans="1:5" x14ac:dyDescent="0.2">
      <c r="A99" t="s">
        <v>204</v>
      </c>
      <c r="B99" t="s">
        <v>23</v>
      </c>
      <c r="C99">
        <v>0.51290614999999995</v>
      </c>
      <c r="E99">
        <v>0.66522594624390297</v>
      </c>
    </row>
    <row r="100" spans="1:5" x14ac:dyDescent="0.2">
      <c r="A100" t="s">
        <v>204</v>
      </c>
      <c r="B100" t="s">
        <v>220</v>
      </c>
      <c r="C100">
        <v>0.408462402</v>
      </c>
      <c r="E100">
        <v>0.62840149362162201</v>
      </c>
    </row>
    <row r="101" spans="1:5" x14ac:dyDescent="0.2">
      <c r="A101" t="s">
        <v>205</v>
      </c>
      <c r="B101" t="s">
        <v>24</v>
      </c>
      <c r="C101">
        <v>0.57920116899999996</v>
      </c>
      <c r="E101">
        <v>0.69758210481818195</v>
      </c>
    </row>
    <row r="102" spans="1:5" x14ac:dyDescent="0.2">
      <c r="A102" t="s">
        <v>205</v>
      </c>
      <c r="B102" t="s">
        <v>25</v>
      </c>
      <c r="C102">
        <v>3.0026816000000001E-2</v>
      </c>
      <c r="E102">
        <v>0.33959595799999998</v>
      </c>
    </row>
    <row r="103" spans="1:5" x14ac:dyDescent="0.2">
      <c r="A103" t="s">
        <v>205</v>
      </c>
      <c r="B103" t="s">
        <v>23</v>
      </c>
      <c r="C103">
        <v>0.56434448500000001</v>
      </c>
      <c r="E103">
        <v>0.69758210481818195</v>
      </c>
    </row>
    <row r="104" spans="1:5" x14ac:dyDescent="0.2">
      <c r="A104" t="s">
        <v>205</v>
      </c>
      <c r="B104" t="s">
        <v>220</v>
      </c>
      <c r="C104">
        <v>0.81263244899999998</v>
      </c>
      <c r="E104">
        <v>0.81263244899999998</v>
      </c>
    </row>
    <row r="105" spans="1:5" x14ac:dyDescent="0.2">
      <c r="A105" t="s">
        <v>208</v>
      </c>
      <c r="B105" t="s">
        <v>24</v>
      </c>
      <c r="C105">
        <v>0.65676371</v>
      </c>
      <c r="E105">
        <v>0.71149401916666699</v>
      </c>
    </row>
    <row r="106" spans="1:5" x14ac:dyDescent="0.2">
      <c r="A106" t="s">
        <v>208</v>
      </c>
      <c r="B106" t="s">
        <v>25</v>
      </c>
      <c r="C106">
        <v>3.9184149000000001E-2</v>
      </c>
      <c r="E106">
        <v>0.33959595799999998</v>
      </c>
    </row>
    <row r="107" spans="1:5" x14ac:dyDescent="0.2">
      <c r="A107" t="s">
        <v>208</v>
      </c>
      <c r="B107" t="s">
        <v>23</v>
      </c>
      <c r="C107">
        <v>0.33310040499999999</v>
      </c>
      <c r="E107">
        <v>0.59728348482758598</v>
      </c>
    </row>
    <row r="108" spans="1:5" x14ac:dyDescent="0.2">
      <c r="A108" t="s">
        <v>208</v>
      </c>
      <c r="B108" t="s">
        <v>220</v>
      </c>
      <c r="C108">
        <v>0.43315092900000002</v>
      </c>
      <c r="E108">
        <v>0.62840149362162201</v>
      </c>
    </row>
    <row r="109" spans="1:5" x14ac:dyDescent="0.2">
      <c r="A109" t="s">
        <v>210</v>
      </c>
      <c r="B109" t="s">
        <v>24</v>
      </c>
      <c r="C109">
        <v>3.2771597E-2</v>
      </c>
      <c r="E109">
        <v>0.33959595799999998</v>
      </c>
    </row>
    <row r="110" spans="1:5" x14ac:dyDescent="0.2">
      <c r="A110" t="s">
        <v>210</v>
      </c>
      <c r="B110" t="s">
        <v>25</v>
      </c>
      <c r="C110">
        <v>0.158801198</v>
      </c>
      <c r="E110">
        <v>0.458759016444444</v>
      </c>
    </row>
    <row r="111" spans="1:5" x14ac:dyDescent="0.2">
      <c r="A111" t="s">
        <v>210</v>
      </c>
      <c r="B111" t="s">
        <v>23</v>
      </c>
      <c r="C111">
        <v>0.123736627</v>
      </c>
      <c r="E111">
        <v>0.42227445650000001</v>
      </c>
    </row>
    <row r="112" spans="1:5" x14ac:dyDescent="0.2">
      <c r="A112" t="s">
        <v>210</v>
      </c>
      <c r="B112" t="s">
        <v>220</v>
      </c>
      <c r="C112">
        <v>5.0212379999999999E-3</v>
      </c>
      <c r="E112">
        <v>0.18160625599999999</v>
      </c>
    </row>
    <row r="114" spans="1:5" x14ac:dyDescent="0.2">
      <c r="A114" s="22" t="s">
        <v>172</v>
      </c>
    </row>
    <row r="115" spans="1:5" x14ac:dyDescent="0.2">
      <c r="A115" t="s">
        <v>217</v>
      </c>
      <c r="B115" t="s">
        <v>198</v>
      </c>
      <c r="C115">
        <v>1.90571E-4</v>
      </c>
      <c r="E115">
        <v>4.9003971428571397E-4</v>
      </c>
    </row>
    <row r="116" spans="1:5" x14ac:dyDescent="0.2">
      <c r="A116" t="s">
        <v>217</v>
      </c>
      <c r="B116" t="s">
        <v>199</v>
      </c>
      <c r="C116">
        <v>0.49874753300000002</v>
      </c>
      <c r="E116">
        <v>0.5984970396</v>
      </c>
    </row>
    <row r="117" spans="1:5" x14ac:dyDescent="0.2">
      <c r="A117" t="s">
        <v>217</v>
      </c>
      <c r="B117" t="s">
        <v>200</v>
      </c>
      <c r="C117">
        <v>4.4075700000000001E-4</v>
      </c>
      <c r="E117">
        <v>8.8151400000000002E-4</v>
      </c>
    </row>
    <row r="118" spans="1:5" x14ac:dyDescent="0.2">
      <c r="A118" t="s">
        <v>217</v>
      </c>
      <c r="B118" t="s">
        <v>219</v>
      </c>
      <c r="C118">
        <v>0.95330710699999999</v>
      </c>
      <c r="E118">
        <v>0.95330710699999999</v>
      </c>
    </row>
    <row r="119" spans="1:5" x14ac:dyDescent="0.2">
      <c r="A119" t="s">
        <v>217</v>
      </c>
      <c r="B119" t="s">
        <v>202</v>
      </c>
      <c r="C119">
        <v>2.6582899999999998E-4</v>
      </c>
      <c r="E119">
        <v>5.9811524999999995E-4</v>
      </c>
    </row>
    <row r="120" spans="1:5" x14ac:dyDescent="0.2">
      <c r="A120" t="s">
        <v>198</v>
      </c>
      <c r="B120" t="s">
        <v>199</v>
      </c>
      <c r="C120">
        <v>0.24821344100000001</v>
      </c>
      <c r="E120">
        <v>0.40984316584615399</v>
      </c>
    </row>
    <row r="121" spans="1:5" x14ac:dyDescent="0.2">
      <c r="A121" t="s">
        <v>198</v>
      </c>
      <c r="B121" t="s">
        <v>200</v>
      </c>
      <c r="C121" s="23">
        <v>6.4492600000000007E-5</v>
      </c>
      <c r="E121">
        <v>1.9347780000000001E-4</v>
      </c>
    </row>
    <row r="122" spans="1:5" x14ac:dyDescent="0.2">
      <c r="A122" t="s">
        <v>198</v>
      </c>
      <c r="B122" t="s">
        <v>219</v>
      </c>
      <c r="C122">
        <v>0.435331633</v>
      </c>
      <c r="E122">
        <v>0.55971209957142898</v>
      </c>
    </row>
    <row r="123" spans="1:5" x14ac:dyDescent="0.2">
      <c r="A123" t="s">
        <v>198</v>
      </c>
      <c r="B123" t="s">
        <v>202</v>
      </c>
      <c r="C123" s="23">
        <v>4.0120799999999997E-5</v>
      </c>
      <c r="E123">
        <v>1.4443487999999999E-4</v>
      </c>
    </row>
    <row r="124" spans="1:5" x14ac:dyDescent="0.2">
      <c r="A124" t="s">
        <v>199</v>
      </c>
      <c r="B124" t="s">
        <v>200</v>
      </c>
      <c r="C124">
        <v>0.29599784200000001</v>
      </c>
      <c r="E124">
        <v>0.40984316584615399</v>
      </c>
    </row>
    <row r="125" spans="1:5" x14ac:dyDescent="0.2">
      <c r="A125" t="s">
        <v>199</v>
      </c>
      <c r="B125" t="s">
        <v>219</v>
      </c>
      <c r="C125">
        <v>0.28740838699999999</v>
      </c>
      <c r="E125">
        <v>0.40984316584615399</v>
      </c>
    </row>
    <row r="126" spans="1:5" x14ac:dyDescent="0.2">
      <c r="A126" t="s">
        <v>199</v>
      </c>
      <c r="B126" t="s">
        <v>202</v>
      </c>
      <c r="C126">
        <v>0.28350866600000002</v>
      </c>
      <c r="E126">
        <v>0.40984316584615399</v>
      </c>
    </row>
    <row r="127" spans="1:5" x14ac:dyDescent="0.2">
      <c r="A127" t="s">
        <v>200</v>
      </c>
      <c r="B127" t="s">
        <v>219</v>
      </c>
      <c r="C127">
        <v>0.78275408499999999</v>
      </c>
      <c r="E127">
        <v>0.82879844294117599</v>
      </c>
    </row>
    <row r="128" spans="1:5" x14ac:dyDescent="0.2">
      <c r="A128" t="s">
        <v>200</v>
      </c>
      <c r="B128" t="s">
        <v>202</v>
      </c>
      <c r="C128" s="23">
        <v>4.0444399999999999E-7</v>
      </c>
      <c r="E128">
        <v>1.8199980000000001E-6</v>
      </c>
    </row>
    <row r="129" spans="1:5" x14ac:dyDescent="0.2">
      <c r="A129" t="s">
        <v>219</v>
      </c>
      <c r="B129" t="s">
        <v>202</v>
      </c>
      <c r="C129">
        <v>0.62880376800000004</v>
      </c>
      <c r="E129">
        <v>0.70740423900000005</v>
      </c>
    </row>
    <row r="131" spans="1:5" x14ac:dyDescent="0.2">
      <c r="A131" s="22" t="s">
        <v>173</v>
      </c>
    </row>
    <row r="132" spans="1:5" x14ac:dyDescent="0.2">
      <c r="A132" t="s">
        <v>204</v>
      </c>
      <c r="B132" t="s">
        <v>205</v>
      </c>
      <c r="C132">
        <v>3.1339999999999997E-4</v>
      </c>
      <c r="E132">
        <v>8.3573333333333301E-4</v>
      </c>
    </row>
    <row r="133" spans="1:5" x14ac:dyDescent="0.2">
      <c r="A133" t="s">
        <v>204</v>
      </c>
      <c r="B133" t="s">
        <v>208</v>
      </c>
      <c r="C133">
        <v>4.2138138999999998E-2</v>
      </c>
      <c r="E133">
        <v>6.7421022400000002E-2</v>
      </c>
    </row>
    <row r="134" spans="1:5" x14ac:dyDescent="0.2">
      <c r="A134" t="s">
        <v>204</v>
      </c>
      <c r="B134" t="s">
        <v>210</v>
      </c>
      <c r="C134">
        <v>3.1667624999999998E-2</v>
      </c>
      <c r="E134">
        <v>6.3335249999999996E-2</v>
      </c>
    </row>
    <row r="135" spans="1:5" x14ac:dyDescent="0.2">
      <c r="A135" t="s">
        <v>205</v>
      </c>
      <c r="B135" t="s">
        <v>208</v>
      </c>
      <c r="C135">
        <v>0.215080879</v>
      </c>
      <c r="E135">
        <v>0.215080879</v>
      </c>
    </row>
    <row r="136" spans="1:5" x14ac:dyDescent="0.2">
      <c r="A136" t="s">
        <v>205</v>
      </c>
      <c r="B136" t="s">
        <v>210</v>
      </c>
      <c r="C136">
        <v>0.20588621900000001</v>
      </c>
      <c r="E136">
        <v>0.215080879</v>
      </c>
    </row>
    <row r="137" spans="1:5" x14ac:dyDescent="0.2">
      <c r="A137" t="s">
        <v>208</v>
      </c>
      <c r="B137" t="s">
        <v>210</v>
      </c>
      <c r="C137">
        <v>0.20452624</v>
      </c>
      <c r="E137">
        <v>0.215080879</v>
      </c>
    </row>
    <row r="139" spans="1:5" x14ac:dyDescent="0.2">
      <c r="A139" s="22" t="s">
        <v>174</v>
      </c>
    </row>
    <row r="140" spans="1:5" x14ac:dyDescent="0.2">
      <c r="A140" t="s">
        <v>203</v>
      </c>
      <c r="B140" t="s">
        <v>206</v>
      </c>
      <c r="C140">
        <v>1.9813665000000001E-2</v>
      </c>
      <c r="E140">
        <v>5.2836439999999998E-2</v>
      </c>
    </row>
    <row r="141" spans="1:5" x14ac:dyDescent="0.2">
      <c r="A141" t="s">
        <v>203</v>
      </c>
      <c r="B141" t="s">
        <v>207</v>
      </c>
      <c r="C141">
        <v>0.49642194699999997</v>
      </c>
      <c r="E141">
        <v>0.49642194699999997</v>
      </c>
    </row>
    <row r="142" spans="1:5" x14ac:dyDescent="0.2">
      <c r="A142" t="s">
        <v>203</v>
      </c>
      <c r="B142" t="s">
        <v>22</v>
      </c>
      <c r="C142">
        <v>0.290201971</v>
      </c>
      <c r="E142">
        <v>0.38693596133333302</v>
      </c>
    </row>
    <row r="143" spans="1:5" x14ac:dyDescent="0.2">
      <c r="A143" t="s">
        <v>206</v>
      </c>
      <c r="B143" t="s">
        <v>207</v>
      </c>
      <c r="C143">
        <v>0.47852237800000003</v>
      </c>
      <c r="E143">
        <v>0.49642194699999997</v>
      </c>
    </row>
    <row r="144" spans="1:5" x14ac:dyDescent="0.2">
      <c r="A144" t="s">
        <v>206</v>
      </c>
      <c r="B144" t="s">
        <v>22</v>
      </c>
      <c r="C144">
        <v>0.107435143</v>
      </c>
      <c r="E144">
        <v>0.21487028599999999</v>
      </c>
    </row>
    <row r="145" spans="1:5" x14ac:dyDescent="0.2">
      <c r="A145" t="s">
        <v>207</v>
      </c>
      <c r="B145" t="s">
        <v>22</v>
      </c>
      <c r="C145">
        <v>0.213209856</v>
      </c>
      <c r="E145">
        <v>0.34113576960000003</v>
      </c>
    </row>
  </sheetData>
  <phoneticPr fontId="31" type="noConversion"/>
  <conditionalFormatting sqref="C5:C16 C115:C129 C140:C145 C132:C137 C61:C112 C19:C58 E5:E16 E19:E58 E61:E112 E115:E129 E132:E137 E140:E145">
    <cfRule type="cellIs" dxfId="3" priority="1" operator="lessThan">
      <formula>0.05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"/>
  <sheetViews>
    <sheetView topLeftCell="B1" workbookViewId="0">
      <selection activeCell="L30" sqref="L30"/>
    </sheetView>
  </sheetViews>
  <sheetFormatPr baseColWidth="10" defaultColWidth="11" defaultRowHeight="16" x14ac:dyDescent="0.2"/>
  <cols>
    <col min="8" max="8" width="11.83203125" customWidth="1"/>
  </cols>
  <sheetData>
    <row r="1" spans="1:14" x14ac:dyDescent="0.2">
      <c r="A1" t="s">
        <v>242</v>
      </c>
    </row>
    <row r="3" spans="1:14" s="20" customFormat="1" ht="85" x14ac:dyDescent="0.2">
      <c r="A3" s="20" t="s">
        <v>0</v>
      </c>
      <c r="B3" s="20" t="s">
        <v>1</v>
      </c>
      <c r="C3" s="20" t="s">
        <v>222</v>
      </c>
      <c r="D3" s="20" t="s">
        <v>125</v>
      </c>
      <c r="E3" s="20" t="s">
        <v>126</v>
      </c>
      <c r="F3" s="20" t="s">
        <v>104</v>
      </c>
      <c r="G3" s="20" t="s">
        <v>127</v>
      </c>
      <c r="H3" s="20" t="s">
        <v>221</v>
      </c>
      <c r="I3" s="20" t="s">
        <v>108</v>
      </c>
      <c r="L3" s="21" t="s">
        <v>1</v>
      </c>
      <c r="M3" s="20" t="s">
        <v>222</v>
      </c>
      <c r="N3" s="20" t="s">
        <v>125</v>
      </c>
    </row>
    <row r="4" spans="1:14" x14ac:dyDescent="0.2">
      <c r="A4" t="s">
        <v>35</v>
      </c>
      <c r="B4" t="s">
        <v>6</v>
      </c>
      <c r="C4">
        <v>107.75862069999999</v>
      </c>
      <c r="D4">
        <v>15.9</v>
      </c>
      <c r="E4">
        <v>0.34970000000000001</v>
      </c>
      <c r="F4">
        <v>1045</v>
      </c>
      <c r="G4">
        <v>15.5</v>
      </c>
      <c r="H4">
        <v>369</v>
      </c>
      <c r="I4" t="s">
        <v>109</v>
      </c>
      <c r="L4" t="s">
        <v>6</v>
      </c>
      <c r="M4">
        <f>AVERAGE(C4:C22)</f>
        <v>118.63674510301388</v>
      </c>
      <c r="N4">
        <f>AVERAGE(D4:D22)</f>
        <v>5.2281052631578948</v>
      </c>
    </row>
    <row r="5" spans="1:14" x14ac:dyDescent="0.2">
      <c r="A5" t="s">
        <v>36</v>
      </c>
      <c r="B5" t="s">
        <v>6</v>
      </c>
      <c r="C5">
        <v>37.17472119</v>
      </c>
      <c r="D5">
        <v>4.55</v>
      </c>
      <c r="E5">
        <v>0.92559999999999998</v>
      </c>
      <c r="F5">
        <v>1036</v>
      </c>
      <c r="G5">
        <v>7.6000000000000005</v>
      </c>
      <c r="H5">
        <v>940</v>
      </c>
      <c r="I5" t="s">
        <v>109</v>
      </c>
      <c r="L5" t="s">
        <v>8</v>
      </c>
      <c r="M5">
        <f>AVERAGE(C23:C38)</f>
        <v>250.27109525624999</v>
      </c>
      <c r="N5">
        <f>AVERAGE(D23:D38)</f>
        <v>1.9040625</v>
      </c>
    </row>
    <row r="6" spans="1:14" x14ac:dyDescent="0.2">
      <c r="A6" t="s">
        <v>37</v>
      </c>
      <c r="B6" t="s">
        <v>6</v>
      </c>
      <c r="C6">
        <v>117.7856302</v>
      </c>
      <c r="D6">
        <v>4.6900000000000004</v>
      </c>
      <c r="E6">
        <v>0.37280000000000002</v>
      </c>
      <c r="F6">
        <v>1376</v>
      </c>
      <c r="G6">
        <v>15.600000000000001</v>
      </c>
      <c r="H6">
        <v>504</v>
      </c>
      <c r="I6" t="s">
        <v>109</v>
      </c>
    </row>
    <row r="7" spans="1:14" x14ac:dyDescent="0.2">
      <c r="A7" t="s">
        <v>38</v>
      </c>
      <c r="B7" t="s">
        <v>6</v>
      </c>
      <c r="C7">
        <v>82.644628100000006</v>
      </c>
      <c r="D7">
        <v>1.38</v>
      </c>
      <c r="E7">
        <v>0.59670000000000001</v>
      </c>
      <c r="F7">
        <v>1274</v>
      </c>
      <c r="G7">
        <v>13.600000000000001</v>
      </c>
      <c r="H7">
        <v>729</v>
      </c>
      <c r="I7" t="s">
        <v>109</v>
      </c>
    </row>
    <row r="8" spans="1:14" x14ac:dyDescent="0.2">
      <c r="A8" t="s">
        <v>39</v>
      </c>
      <c r="B8" t="s">
        <v>6</v>
      </c>
      <c r="C8">
        <v>139.6648045</v>
      </c>
      <c r="D8">
        <v>0.63700000000000001</v>
      </c>
      <c r="E8">
        <v>0.29110000000000003</v>
      </c>
      <c r="F8">
        <v>1419</v>
      </c>
      <c r="G8">
        <v>16.5</v>
      </c>
      <c r="H8">
        <v>409</v>
      </c>
      <c r="I8" t="s">
        <v>109</v>
      </c>
    </row>
    <row r="9" spans="1:14" x14ac:dyDescent="0.2">
      <c r="A9" t="s">
        <v>40</v>
      </c>
      <c r="B9" t="s">
        <v>6</v>
      </c>
      <c r="C9">
        <v>112.7395716</v>
      </c>
      <c r="D9">
        <v>1.63</v>
      </c>
      <c r="E9">
        <v>0.9163</v>
      </c>
      <c r="F9">
        <v>1168</v>
      </c>
      <c r="G9">
        <v>10.700000000000001</v>
      </c>
      <c r="H9">
        <v>1041</v>
      </c>
      <c r="I9" t="s">
        <v>109</v>
      </c>
    </row>
    <row r="10" spans="1:14" x14ac:dyDescent="0.2">
      <c r="A10" t="s">
        <v>41</v>
      </c>
      <c r="B10" t="s">
        <v>6</v>
      </c>
      <c r="C10">
        <v>136.425648</v>
      </c>
      <c r="D10">
        <v>0.11700000000000001</v>
      </c>
      <c r="E10">
        <v>0.87890000000000001</v>
      </c>
      <c r="F10">
        <v>1262</v>
      </c>
      <c r="G10">
        <v>13</v>
      </c>
      <c r="H10">
        <v>1092</v>
      </c>
      <c r="I10" t="s">
        <v>110</v>
      </c>
    </row>
    <row r="11" spans="1:14" x14ac:dyDescent="0.2">
      <c r="A11" t="s">
        <v>42</v>
      </c>
      <c r="B11" t="s">
        <v>6</v>
      </c>
      <c r="C11">
        <v>124.5330012</v>
      </c>
      <c r="D11">
        <v>5.42</v>
      </c>
      <c r="E11">
        <v>0.43409999999999999</v>
      </c>
      <c r="F11">
        <v>1324</v>
      </c>
      <c r="G11">
        <v>14.5</v>
      </c>
      <c r="H11">
        <v>565</v>
      </c>
      <c r="I11" t="s">
        <v>109</v>
      </c>
    </row>
    <row r="12" spans="1:14" x14ac:dyDescent="0.2">
      <c r="A12" t="s">
        <v>43</v>
      </c>
      <c r="B12" t="s">
        <v>6</v>
      </c>
      <c r="C12">
        <v>86.956521739999999</v>
      </c>
      <c r="D12">
        <v>4.3600000000000003</v>
      </c>
      <c r="E12">
        <v>0.91790000000000005</v>
      </c>
      <c r="F12">
        <v>1190</v>
      </c>
      <c r="G12">
        <v>12.700000000000001</v>
      </c>
      <c r="H12">
        <v>1059</v>
      </c>
      <c r="I12" t="s">
        <v>110</v>
      </c>
    </row>
    <row r="13" spans="1:14" x14ac:dyDescent="0.2">
      <c r="A13" t="s">
        <v>44</v>
      </c>
      <c r="B13" t="s">
        <v>6</v>
      </c>
      <c r="C13">
        <v>88.718221267263687</v>
      </c>
      <c r="D13" s="15">
        <v>1.99</v>
      </c>
      <c r="E13">
        <v>1.0097</v>
      </c>
      <c r="F13">
        <v>1016</v>
      </c>
      <c r="G13">
        <v>12.3</v>
      </c>
      <c r="H13">
        <v>1019</v>
      </c>
      <c r="I13" t="s">
        <v>110</v>
      </c>
      <c r="J13" s="15"/>
    </row>
    <row r="14" spans="1:14" x14ac:dyDescent="0.2">
      <c r="A14" t="s">
        <v>45</v>
      </c>
      <c r="B14" t="s">
        <v>6</v>
      </c>
      <c r="C14">
        <v>116.5501166</v>
      </c>
      <c r="D14">
        <v>3.22</v>
      </c>
      <c r="E14">
        <v>5.57E-2</v>
      </c>
      <c r="F14">
        <v>1163</v>
      </c>
      <c r="G14">
        <v>13.600000000000001</v>
      </c>
      <c r="H14">
        <v>62</v>
      </c>
      <c r="I14" t="s">
        <v>109</v>
      </c>
    </row>
    <row r="15" spans="1:14" x14ac:dyDescent="0.2">
      <c r="A15" t="s">
        <v>46</v>
      </c>
      <c r="B15" t="s">
        <v>6</v>
      </c>
      <c r="C15">
        <v>279.32960889999998</v>
      </c>
      <c r="D15">
        <v>1.1499999999999999</v>
      </c>
      <c r="E15">
        <v>0.47699999999999998</v>
      </c>
      <c r="F15">
        <v>1116</v>
      </c>
      <c r="G15">
        <v>13.4</v>
      </c>
      <c r="H15">
        <v>510</v>
      </c>
      <c r="I15" t="s">
        <v>109</v>
      </c>
    </row>
    <row r="16" spans="1:14" x14ac:dyDescent="0.2">
      <c r="A16" t="s">
        <v>47</v>
      </c>
      <c r="B16" t="s">
        <v>6</v>
      </c>
      <c r="C16">
        <v>125.9445844</v>
      </c>
      <c r="D16">
        <v>2.5499999999999998</v>
      </c>
      <c r="E16">
        <v>1.0443</v>
      </c>
      <c r="F16">
        <v>1117</v>
      </c>
      <c r="G16">
        <v>12.3</v>
      </c>
      <c r="H16">
        <v>1151</v>
      </c>
      <c r="I16" t="s">
        <v>109</v>
      </c>
    </row>
    <row r="17" spans="1:9" x14ac:dyDescent="0.2">
      <c r="A17" t="s">
        <v>48</v>
      </c>
      <c r="B17" t="s">
        <v>6</v>
      </c>
      <c r="C17">
        <v>132.8021248</v>
      </c>
      <c r="D17">
        <v>4.05</v>
      </c>
      <c r="E17">
        <v>0.87519999999999998</v>
      </c>
      <c r="F17">
        <v>1208</v>
      </c>
      <c r="G17">
        <v>11.600000000000001</v>
      </c>
      <c r="H17">
        <v>1026</v>
      </c>
      <c r="I17" t="s">
        <v>110</v>
      </c>
    </row>
    <row r="18" spans="1:9" x14ac:dyDescent="0.2">
      <c r="A18" t="s">
        <v>49</v>
      </c>
      <c r="B18" t="s">
        <v>6</v>
      </c>
      <c r="C18">
        <v>61.728395059999997</v>
      </c>
      <c r="D18">
        <v>4.83</v>
      </c>
      <c r="E18">
        <v>9.2899999999999996E-2</v>
      </c>
      <c r="F18">
        <v>1270</v>
      </c>
      <c r="G18">
        <v>13</v>
      </c>
      <c r="H18">
        <v>1166</v>
      </c>
      <c r="I18" t="s">
        <v>109</v>
      </c>
    </row>
    <row r="19" spans="1:9" x14ac:dyDescent="0.2">
      <c r="A19" t="s">
        <v>50</v>
      </c>
      <c r="B19" t="s">
        <v>6</v>
      </c>
      <c r="C19">
        <v>137.55158180000001</v>
      </c>
      <c r="D19">
        <v>1.97</v>
      </c>
      <c r="E19">
        <v>0.41870000000000002</v>
      </c>
      <c r="F19">
        <v>1345</v>
      </c>
      <c r="G19">
        <v>14</v>
      </c>
      <c r="H19">
        <v>547</v>
      </c>
      <c r="I19" t="s">
        <v>110</v>
      </c>
    </row>
    <row r="20" spans="1:9" x14ac:dyDescent="0.2">
      <c r="A20" t="s">
        <v>51</v>
      </c>
      <c r="B20" t="s">
        <v>6</v>
      </c>
      <c r="C20">
        <v>143.47202300000001</v>
      </c>
      <c r="D20">
        <v>35.4</v>
      </c>
      <c r="E20">
        <v>0.14430000000000001</v>
      </c>
      <c r="F20">
        <v>1238</v>
      </c>
      <c r="G20">
        <v>13.9</v>
      </c>
      <c r="H20">
        <v>93</v>
      </c>
      <c r="I20" t="s">
        <v>110</v>
      </c>
    </row>
    <row r="21" spans="1:9" x14ac:dyDescent="0.2">
      <c r="A21" t="s">
        <v>52</v>
      </c>
      <c r="B21" t="s">
        <v>6</v>
      </c>
      <c r="C21">
        <v>102.9866117</v>
      </c>
      <c r="D21">
        <v>3.04</v>
      </c>
      <c r="E21">
        <v>1.0067999999999999</v>
      </c>
      <c r="F21">
        <v>1057</v>
      </c>
      <c r="G21">
        <v>12.600000000000001</v>
      </c>
      <c r="H21">
        <v>1059</v>
      </c>
      <c r="I21" t="s">
        <v>109</v>
      </c>
    </row>
    <row r="22" spans="1:9" x14ac:dyDescent="0.2">
      <c r="A22" t="s">
        <v>53</v>
      </c>
      <c r="B22" t="s">
        <v>6</v>
      </c>
      <c r="C22">
        <v>119.33174219999999</v>
      </c>
      <c r="D22">
        <v>2.4500000000000002</v>
      </c>
      <c r="E22">
        <v>0.35859999999999997</v>
      </c>
      <c r="F22">
        <v>1168</v>
      </c>
      <c r="G22">
        <v>15.9</v>
      </c>
      <c r="H22">
        <v>427</v>
      </c>
      <c r="I22" t="s">
        <v>109</v>
      </c>
    </row>
    <row r="23" spans="1:9" x14ac:dyDescent="0.2">
      <c r="A23" t="s">
        <v>54</v>
      </c>
      <c r="B23" t="s">
        <v>8</v>
      </c>
      <c r="C23">
        <v>334.44816049999997</v>
      </c>
      <c r="D23">
        <v>2.83</v>
      </c>
      <c r="E23">
        <v>0.63039999999999996</v>
      </c>
      <c r="F23">
        <v>1176</v>
      </c>
      <c r="G23">
        <v>13</v>
      </c>
      <c r="H23">
        <v>730</v>
      </c>
      <c r="I23" t="s">
        <v>109</v>
      </c>
    </row>
    <row r="24" spans="1:9" x14ac:dyDescent="0.2">
      <c r="A24" t="s">
        <v>55</v>
      </c>
      <c r="B24" t="s">
        <v>8</v>
      </c>
      <c r="C24">
        <v>191.5708812</v>
      </c>
      <c r="D24">
        <v>1.58</v>
      </c>
      <c r="E24">
        <v>0.90790000000000004</v>
      </c>
      <c r="F24">
        <v>1094</v>
      </c>
      <c r="G24">
        <v>8.4</v>
      </c>
      <c r="H24">
        <v>975</v>
      </c>
      <c r="I24" t="s">
        <v>109</v>
      </c>
    </row>
    <row r="25" spans="1:9" x14ac:dyDescent="0.2">
      <c r="A25" t="s">
        <v>56</v>
      </c>
      <c r="B25" t="s">
        <v>8</v>
      </c>
      <c r="C25">
        <v>281.69014079999999</v>
      </c>
      <c r="D25">
        <v>0.94</v>
      </c>
      <c r="E25">
        <v>0.62470000000000003</v>
      </c>
      <c r="F25">
        <v>1311</v>
      </c>
      <c r="G25">
        <v>14.600000000000001</v>
      </c>
      <c r="H25">
        <v>811</v>
      </c>
      <c r="I25" t="s">
        <v>109</v>
      </c>
    </row>
    <row r="26" spans="1:9" x14ac:dyDescent="0.2">
      <c r="A26" t="s">
        <v>57</v>
      </c>
      <c r="B26" t="s">
        <v>8</v>
      </c>
      <c r="C26">
        <v>342.46575339999998</v>
      </c>
      <c r="D26">
        <v>1.58</v>
      </c>
      <c r="E26">
        <v>0.39929999999999999</v>
      </c>
      <c r="F26">
        <v>1277</v>
      </c>
      <c r="G26">
        <v>15.600000000000001</v>
      </c>
      <c r="H26">
        <v>505</v>
      </c>
      <c r="I26" t="s">
        <v>109</v>
      </c>
    </row>
    <row r="27" spans="1:9" x14ac:dyDescent="0.2">
      <c r="A27" t="s">
        <v>58</v>
      </c>
      <c r="B27" t="s">
        <v>8</v>
      </c>
      <c r="C27">
        <v>228.83295190000001</v>
      </c>
      <c r="D27">
        <v>0.95</v>
      </c>
      <c r="E27">
        <v>0.99680000000000002</v>
      </c>
      <c r="F27">
        <v>1034</v>
      </c>
      <c r="G27">
        <v>12.8</v>
      </c>
      <c r="H27">
        <v>986</v>
      </c>
      <c r="I27" t="s">
        <v>109</v>
      </c>
    </row>
    <row r="28" spans="1:9" x14ac:dyDescent="0.2">
      <c r="A28" t="s">
        <v>59</v>
      </c>
      <c r="B28" t="s">
        <v>8</v>
      </c>
      <c r="C28">
        <v>206.61157019999999</v>
      </c>
      <c r="D28">
        <v>1.77</v>
      </c>
      <c r="E28">
        <v>0.3891</v>
      </c>
      <c r="F28">
        <v>1369</v>
      </c>
      <c r="G28">
        <v>16</v>
      </c>
      <c r="H28">
        <v>520</v>
      </c>
      <c r="I28" t="s">
        <v>109</v>
      </c>
    </row>
    <row r="29" spans="1:9" x14ac:dyDescent="0.2">
      <c r="A29" t="s">
        <v>60</v>
      </c>
      <c r="B29" t="s">
        <v>8</v>
      </c>
      <c r="C29">
        <v>202.02020200000001</v>
      </c>
      <c r="D29">
        <v>4.3</v>
      </c>
      <c r="E29">
        <v>1.3396999999999999</v>
      </c>
      <c r="F29">
        <v>1074</v>
      </c>
      <c r="G29">
        <v>10.9</v>
      </c>
      <c r="H29">
        <v>1416</v>
      </c>
      <c r="I29" t="s">
        <v>109</v>
      </c>
    </row>
    <row r="30" spans="1:9" x14ac:dyDescent="0.2">
      <c r="A30" t="s">
        <v>61</v>
      </c>
      <c r="B30" t="s">
        <v>8</v>
      </c>
      <c r="C30">
        <v>255.7544757</v>
      </c>
      <c r="D30">
        <v>0.63</v>
      </c>
      <c r="E30">
        <v>0.2666</v>
      </c>
      <c r="F30">
        <v>1230</v>
      </c>
      <c r="G30">
        <v>16.8</v>
      </c>
      <c r="H30">
        <v>324</v>
      </c>
      <c r="I30" t="s">
        <v>109</v>
      </c>
    </row>
    <row r="31" spans="1:9" x14ac:dyDescent="0.2">
      <c r="A31" t="s">
        <v>62</v>
      </c>
      <c r="B31" t="s">
        <v>8</v>
      </c>
      <c r="C31">
        <v>289.85507250000001</v>
      </c>
      <c r="D31">
        <v>2.6</v>
      </c>
      <c r="E31">
        <v>0.36099999999999999</v>
      </c>
      <c r="F31">
        <v>1095</v>
      </c>
      <c r="G31">
        <v>13.9</v>
      </c>
      <c r="H31">
        <v>394</v>
      </c>
      <c r="I31" t="s">
        <v>109</v>
      </c>
    </row>
    <row r="32" spans="1:9" x14ac:dyDescent="0.2">
      <c r="A32" t="s">
        <v>63</v>
      </c>
      <c r="B32" t="s">
        <v>8</v>
      </c>
      <c r="C32">
        <v>252.52525249999999</v>
      </c>
      <c r="D32">
        <v>1.71</v>
      </c>
      <c r="E32">
        <v>0.46310000000000001</v>
      </c>
      <c r="F32">
        <v>1020</v>
      </c>
      <c r="G32">
        <v>13.200000000000001</v>
      </c>
      <c r="H32">
        <v>469</v>
      </c>
      <c r="I32" t="s">
        <v>109</v>
      </c>
    </row>
    <row r="33" spans="1:9" x14ac:dyDescent="0.2">
      <c r="A33" t="s">
        <v>64</v>
      </c>
      <c r="B33" t="s">
        <v>8</v>
      </c>
      <c r="C33">
        <v>202.4291498</v>
      </c>
      <c r="D33">
        <v>0.94499999999999995</v>
      </c>
      <c r="E33">
        <v>1.111</v>
      </c>
      <c r="F33">
        <v>1110</v>
      </c>
      <c r="G33">
        <v>12.100000000000001</v>
      </c>
      <c r="H33">
        <v>1215</v>
      </c>
      <c r="I33" t="s">
        <v>109</v>
      </c>
    </row>
    <row r="34" spans="1:9" x14ac:dyDescent="0.2">
      <c r="A34" t="s">
        <v>65</v>
      </c>
      <c r="B34" t="s">
        <v>8</v>
      </c>
      <c r="C34">
        <v>215.51724139999999</v>
      </c>
      <c r="D34">
        <v>0.36</v>
      </c>
      <c r="E34">
        <v>0.9587</v>
      </c>
      <c r="F34">
        <v>1079</v>
      </c>
      <c r="G34">
        <v>12.8</v>
      </c>
      <c r="H34">
        <v>1030</v>
      </c>
      <c r="I34" t="s">
        <v>109</v>
      </c>
    </row>
    <row r="35" spans="1:9" x14ac:dyDescent="0.2">
      <c r="A35" t="s">
        <v>66</v>
      </c>
      <c r="B35" t="s">
        <v>8</v>
      </c>
      <c r="C35">
        <v>206.61157019999999</v>
      </c>
      <c r="D35">
        <v>5.29</v>
      </c>
      <c r="E35">
        <v>0.82430000000000003</v>
      </c>
      <c r="F35">
        <v>1237</v>
      </c>
      <c r="G35">
        <v>13.3</v>
      </c>
      <c r="H35">
        <v>994</v>
      </c>
      <c r="I35" t="s">
        <v>109</v>
      </c>
    </row>
    <row r="36" spans="1:9" x14ac:dyDescent="0.2">
      <c r="A36" t="s">
        <v>67</v>
      </c>
      <c r="B36" t="s">
        <v>8</v>
      </c>
      <c r="C36">
        <v>156.25</v>
      </c>
      <c r="D36">
        <v>1.75</v>
      </c>
      <c r="E36">
        <v>0.36299999999999999</v>
      </c>
      <c r="F36">
        <v>1043</v>
      </c>
      <c r="G36">
        <v>15.100000000000001</v>
      </c>
      <c r="H36">
        <v>378</v>
      </c>
      <c r="I36" t="s">
        <v>109</v>
      </c>
    </row>
    <row r="37" spans="1:9" x14ac:dyDescent="0.2">
      <c r="A37" t="s">
        <v>68</v>
      </c>
      <c r="B37" t="s">
        <v>8</v>
      </c>
      <c r="C37">
        <v>340.13605439999998</v>
      </c>
      <c r="D37">
        <v>1.88</v>
      </c>
      <c r="E37">
        <v>0.43709999999999999</v>
      </c>
      <c r="F37">
        <v>1335</v>
      </c>
      <c r="G37">
        <v>15</v>
      </c>
      <c r="H37">
        <v>570</v>
      </c>
      <c r="I37" t="s">
        <v>109</v>
      </c>
    </row>
    <row r="38" spans="1:9" x14ac:dyDescent="0.2">
      <c r="A38" t="s">
        <v>69</v>
      </c>
      <c r="B38" t="s">
        <v>8</v>
      </c>
      <c r="C38">
        <v>297.61904759999999</v>
      </c>
      <c r="D38">
        <v>1.35</v>
      </c>
      <c r="E38">
        <v>0.68100000000000005</v>
      </c>
      <c r="F38">
        <v>1201</v>
      </c>
      <c r="G38">
        <v>13.5</v>
      </c>
      <c r="H38">
        <v>783</v>
      </c>
      <c r="I38" t="s">
        <v>109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topLeftCell="B1" workbookViewId="0">
      <selection activeCell="A2" sqref="A2"/>
    </sheetView>
  </sheetViews>
  <sheetFormatPr baseColWidth="10" defaultColWidth="11" defaultRowHeight="16" x14ac:dyDescent="0.2"/>
  <cols>
    <col min="1" max="1" width="34.1640625" bestFit="1" customWidth="1"/>
    <col min="4" max="4" width="12.1640625" bestFit="1" customWidth="1"/>
    <col min="6" max="6" width="12.1640625" bestFit="1" customWidth="1"/>
    <col min="8" max="8" width="12.5" customWidth="1"/>
    <col min="9" max="10" width="12" customWidth="1"/>
  </cols>
  <sheetData>
    <row r="1" spans="1:10" x14ac:dyDescent="0.2">
      <c r="A1" t="s">
        <v>243</v>
      </c>
    </row>
    <row r="3" spans="1:10" s="12" customFormat="1" ht="85" x14ac:dyDescent="0.2">
      <c r="A3" s="13" t="s">
        <v>0</v>
      </c>
      <c r="B3" s="13" t="s">
        <v>1</v>
      </c>
      <c r="C3" s="20" t="s">
        <v>224</v>
      </c>
      <c r="D3" s="20" t="s">
        <v>223</v>
      </c>
      <c r="E3" s="20" t="s">
        <v>128</v>
      </c>
      <c r="F3" s="20" t="s">
        <v>129</v>
      </c>
      <c r="G3" s="20" t="s">
        <v>126</v>
      </c>
      <c r="H3" s="20" t="s">
        <v>104</v>
      </c>
      <c r="I3" s="20" t="s">
        <v>127</v>
      </c>
      <c r="J3" s="20" t="s">
        <v>221</v>
      </c>
    </row>
    <row r="4" spans="1:10" x14ac:dyDescent="0.2">
      <c r="A4" s="2" t="s">
        <v>34</v>
      </c>
      <c r="B4" s="2" t="s">
        <v>6</v>
      </c>
      <c r="C4" s="2">
        <v>88.718221270000001</v>
      </c>
      <c r="D4" s="2">
        <v>68.027210879999998</v>
      </c>
      <c r="E4" s="2">
        <v>1.9906371979999999</v>
      </c>
      <c r="F4" s="2">
        <v>4.7699999999999996</v>
      </c>
      <c r="G4" s="2">
        <v>9.2899999999999996E-2</v>
      </c>
      <c r="H4" s="2">
        <v>1270</v>
      </c>
      <c r="I4" s="2">
        <v>13</v>
      </c>
      <c r="J4" s="2">
        <v>1166</v>
      </c>
    </row>
    <row r="5" spans="1:10" x14ac:dyDescent="0.2">
      <c r="A5" s="2" t="s">
        <v>10</v>
      </c>
      <c r="B5" s="2" t="s">
        <v>6</v>
      </c>
      <c r="C5" s="2">
        <v>145.124529</v>
      </c>
      <c r="D5" s="2">
        <v>137.55158180000001</v>
      </c>
      <c r="E5" s="2">
        <v>0.89043230900000003</v>
      </c>
      <c r="F5" s="2">
        <v>1.97</v>
      </c>
      <c r="G5" s="2">
        <v>0.3891</v>
      </c>
      <c r="H5" s="2">
        <v>1369</v>
      </c>
      <c r="I5" s="2">
        <v>16</v>
      </c>
      <c r="J5" s="2">
        <v>520</v>
      </c>
    </row>
    <row r="6" spans="1:10" x14ac:dyDescent="0.2">
      <c r="A6" s="2" t="s">
        <v>11</v>
      </c>
      <c r="B6" s="2" t="s">
        <v>6</v>
      </c>
      <c r="C6" s="2">
        <v>90.019335499999997</v>
      </c>
      <c r="D6" s="2">
        <v>136.425648</v>
      </c>
      <c r="E6" s="2">
        <v>1.4062556500000001</v>
      </c>
      <c r="F6" s="2">
        <v>0.11700000000000001</v>
      </c>
      <c r="G6" s="2">
        <v>0.47699999999999998</v>
      </c>
      <c r="H6" s="2">
        <v>1116</v>
      </c>
      <c r="I6" s="2">
        <v>13.4</v>
      </c>
      <c r="J6" s="2">
        <v>510</v>
      </c>
    </row>
    <row r="7" spans="1:10" x14ac:dyDescent="0.2">
      <c r="A7" s="2" t="s">
        <v>9</v>
      </c>
      <c r="B7" s="2" t="s">
        <v>6</v>
      </c>
      <c r="C7" s="2">
        <v>169.49828679999999</v>
      </c>
      <c r="D7" s="2">
        <v>124.5330012</v>
      </c>
      <c r="E7" s="2">
        <v>6.7097177629999996</v>
      </c>
      <c r="F7" s="2">
        <v>5.42</v>
      </c>
      <c r="G7" s="2">
        <v>1.0443</v>
      </c>
      <c r="H7" s="2">
        <v>1117</v>
      </c>
      <c r="I7" s="2">
        <v>12.3</v>
      </c>
      <c r="J7" s="2">
        <v>1151</v>
      </c>
    </row>
    <row r="8" spans="1:10" x14ac:dyDescent="0.2">
      <c r="A8" s="2" t="s">
        <v>15</v>
      </c>
      <c r="B8" s="2" t="s">
        <v>6</v>
      </c>
      <c r="C8" s="2">
        <v>125.7751353</v>
      </c>
      <c r="D8" s="2">
        <v>132.8021248</v>
      </c>
      <c r="E8" s="2">
        <v>4.1701250730000003</v>
      </c>
      <c r="F8" s="2">
        <v>4.05</v>
      </c>
      <c r="G8" s="2">
        <v>0.39929999999999999</v>
      </c>
      <c r="H8" s="2">
        <v>1277</v>
      </c>
      <c r="I8" s="2">
        <v>15.6</v>
      </c>
      <c r="J8" s="2">
        <v>505</v>
      </c>
    </row>
    <row r="9" spans="1:10" x14ac:dyDescent="0.2">
      <c r="A9" s="2" t="s">
        <v>14</v>
      </c>
      <c r="B9" s="2" t="s">
        <v>6</v>
      </c>
      <c r="C9" s="2">
        <v>117.52475560000001</v>
      </c>
      <c r="D9" s="2">
        <v>102.9866117</v>
      </c>
      <c r="E9" s="2">
        <v>2.4768010999999999</v>
      </c>
      <c r="F9" s="2">
        <v>3.04</v>
      </c>
      <c r="G9" s="2">
        <v>0.43709999999999999</v>
      </c>
      <c r="H9" s="2">
        <v>1335</v>
      </c>
      <c r="I9" s="2">
        <v>15</v>
      </c>
      <c r="J9" s="2">
        <v>570</v>
      </c>
    </row>
    <row r="10" spans="1:10" x14ac:dyDescent="0.2">
      <c r="A10" s="2" t="s">
        <v>12</v>
      </c>
      <c r="B10" s="2" t="s">
        <v>8</v>
      </c>
      <c r="C10" s="2">
        <v>243.13644869999999</v>
      </c>
      <c r="D10" s="2">
        <v>202.4291498</v>
      </c>
      <c r="E10" s="2">
        <v>0.55518009199999996</v>
      </c>
      <c r="F10" s="2">
        <v>0.94499999999999995</v>
      </c>
      <c r="G10" s="2">
        <v>0.36099999999999999</v>
      </c>
      <c r="H10" s="2">
        <v>1095</v>
      </c>
      <c r="I10" s="2">
        <v>13.9</v>
      </c>
      <c r="J10" s="2">
        <v>394</v>
      </c>
    </row>
    <row r="11" spans="1:10" x14ac:dyDescent="0.2">
      <c r="A11" s="2" t="s">
        <v>7</v>
      </c>
      <c r="B11" s="2" t="s">
        <v>8</v>
      </c>
      <c r="C11" s="2">
        <v>363.78636180000001</v>
      </c>
      <c r="D11" s="2">
        <v>252.52525249999999</v>
      </c>
      <c r="E11" s="2">
        <v>1.395741932</v>
      </c>
      <c r="F11" s="2">
        <v>1.71</v>
      </c>
      <c r="G11" s="2">
        <v>0.2666</v>
      </c>
      <c r="H11" s="2">
        <v>1230</v>
      </c>
      <c r="I11" s="2">
        <v>16.8</v>
      </c>
      <c r="J11" s="2">
        <v>324</v>
      </c>
    </row>
    <row r="12" spans="1:10" x14ac:dyDescent="0.2">
      <c r="A12" s="2" t="s">
        <v>16</v>
      </c>
      <c r="B12" s="2" t="s">
        <v>8</v>
      </c>
      <c r="C12" s="2">
        <v>261.72317029999999</v>
      </c>
      <c r="D12" s="2">
        <v>342.46575339999998</v>
      </c>
      <c r="E12" s="2">
        <v>1.201226192</v>
      </c>
      <c r="F12" s="2">
        <v>1.58</v>
      </c>
      <c r="G12" s="2">
        <v>0.43409999999999999</v>
      </c>
      <c r="H12" s="2">
        <v>1324</v>
      </c>
      <c r="I12" s="2">
        <v>14.5</v>
      </c>
      <c r="J12" s="2">
        <v>565</v>
      </c>
    </row>
    <row r="13" spans="1:10" x14ac:dyDescent="0.2">
      <c r="A13" s="2" t="s">
        <v>13</v>
      </c>
      <c r="B13" s="2" t="s">
        <v>8</v>
      </c>
      <c r="C13" s="2">
        <v>307.12442390000001</v>
      </c>
      <c r="D13" s="2">
        <v>202.02020200000001</v>
      </c>
      <c r="E13" s="2">
        <v>1.4914705340000001</v>
      </c>
      <c r="F13" s="2">
        <v>4.3</v>
      </c>
      <c r="G13" s="2">
        <v>0.35859999999999997</v>
      </c>
      <c r="H13" s="2">
        <v>1168</v>
      </c>
      <c r="I13" s="2">
        <v>15.9</v>
      </c>
      <c r="J13" s="2">
        <v>427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9"/>
  <sheetViews>
    <sheetView workbookViewId="0">
      <selection activeCell="A2" sqref="A2"/>
    </sheetView>
  </sheetViews>
  <sheetFormatPr baseColWidth="10" defaultRowHeight="16" x14ac:dyDescent="0.2"/>
  <sheetData>
    <row r="1" spans="1:29" x14ac:dyDescent="0.2">
      <c r="A1" t="s">
        <v>244</v>
      </c>
    </row>
    <row r="3" spans="1:29" s="12" customFormat="1" x14ac:dyDescent="0.2">
      <c r="D3" s="12" t="s">
        <v>175</v>
      </c>
      <c r="L3" s="12" t="s">
        <v>187</v>
      </c>
      <c r="U3" s="12" t="s">
        <v>176</v>
      </c>
      <c r="AC3"/>
    </row>
    <row r="4" spans="1:29" x14ac:dyDescent="0.2">
      <c r="A4" t="s">
        <v>177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I4" t="s">
        <v>177</v>
      </c>
      <c r="J4" t="s">
        <v>178</v>
      </c>
      <c r="K4" t="s">
        <v>179</v>
      </c>
      <c r="L4" t="s">
        <v>180</v>
      </c>
      <c r="M4" t="s">
        <v>181</v>
      </c>
      <c r="N4" t="s">
        <v>182</v>
      </c>
      <c r="O4" t="s">
        <v>184</v>
      </c>
      <c r="P4" t="s">
        <v>183</v>
      </c>
      <c r="R4" t="s">
        <v>177</v>
      </c>
      <c r="S4" t="s">
        <v>178</v>
      </c>
      <c r="T4" t="s">
        <v>179</v>
      </c>
      <c r="U4" t="s">
        <v>180</v>
      </c>
      <c r="V4" t="s">
        <v>181</v>
      </c>
      <c r="W4" t="s">
        <v>182</v>
      </c>
      <c r="X4" t="s">
        <v>185</v>
      </c>
      <c r="Y4" t="s">
        <v>183</v>
      </c>
      <c r="AA4" t="s">
        <v>186</v>
      </c>
      <c r="AC4" t="s">
        <v>188</v>
      </c>
    </row>
    <row r="5" spans="1:29" x14ac:dyDescent="0.2">
      <c r="A5" t="s">
        <v>2</v>
      </c>
      <c r="B5" t="s">
        <v>197</v>
      </c>
      <c r="C5">
        <v>-0.19602608687842199</v>
      </c>
      <c r="D5">
        <v>2.3334711445616798</v>
      </c>
      <c r="E5">
        <v>0.93355904070459605</v>
      </c>
      <c r="F5">
        <v>397.459514419752</v>
      </c>
      <c r="G5">
        <v>401.459514419752</v>
      </c>
      <c r="I5" t="s">
        <v>2</v>
      </c>
      <c r="J5" t="s">
        <v>197</v>
      </c>
      <c r="K5">
        <v>0.18245887172000999</v>
      </c>
      <c r="L5">
        <v>1.602920464251</v>
      </c>
      <c r="M5">
        <v>0.91006304968098595</v>
      </c>
      <c r="N5">
        <v>385.76378152912599</v>
      </c>
      <c r="O5">
        <v>0.61858154529169995</v>
      </c>
      <c r="P5">
        <v>389.76378152912599</v>
      </c>
      <c r="R5" t="s">
        <v>2</v>
      </c>
      <c r="S5" t="s">
        <v>197</v>
      </c>
      <c r="T5">
        <v>-0.45782888204916</v>
      </c>
      <c r="U5">
        <v>2.0228085474737001</v>
      </c>
      <c r="V5">
        <v>0.82233832034338095</v>
      </c>
      <c r="W5">
        <v>394.39593899603602</v>
      </c>
      <c r="X5">
        <v>0.16930705011092301</v>
      </c>
      <c r="Y5">
        <v>398.39593899603602</v>
      </c>
      <c r="AA5" t="str">
        <f>IF(AND(G5-P5&lt;-2, G5-Y5&lt;-2), "BM", IF(OR(P5-G5&lt;-2, Y5-G5&lt;-2), IF(AND(P5-G5&lt;-2, Y5-G5&gt;-2), "P ", IF(AND(P5-G5&lt;-2, Y5-G5&lt;-2), "P &amp; OU ", "OU ")), " "))</f>
        <v xml:space="preserve">P &amp; OU </v>
      </c>
      <c r="AC5">
        <f>MIN(E5,M5,V5)</f>
        <v>0.82233832034338095</v>
      </c>
    </row>
    <row r="6" spans="1:29" x14ac:dyDescent="0.2">
      <c r="A6" t="s">
        <v>2</v>
      </c>
      <c r="B6" t="s">
        <v>24</v>
      </c>
      <c r="C6">
        <v>-48.167651666523398</v>
      </c>
      <c r="D6">
        <v>35.746035404855697</v>
      </c>
      <c r="E6">
        <v>0.18699988556895999</v>
      </c>
      <c r="F6">
        <v>395.59232119308598</v>
      </c>
      <c r="G6">
        <v>399.59232119308598</v>
      </c>
      <c r="I6" t="s">
        <v>2</v>
      </c>
      <c r="J6" t="s">
        <v>24</v>
      </c>
      <c r="K6">
        <v>-32.892446244439597</v>
      </c>
      <c r="L6">
        <v>28.802343228473799</v>
      </c>
      <c r="M6">
        <v>0.26167042549276898</v>
      </c>
      <c r="N6">
        <v>384.42191809956199</v>
      </c>
      <c r="O6">
        <v>0.61149176770278901</v>
      </c>
      <c r="P6">
        <v>388.42191809956199</v>
      </c>
      <c r="R6" t="s">
        <v>2</v>
      </c>
      <c r="S6" t="s">
        <v>24</v>
      </c>
      <c r="T6">
        <v>-46.773282664935003</v>
      </c>
      <c r="U6">
        <v>34.777365935833799</v>
      </c>
      <c r="V6">
        <v>0.187817345741148</v>
      </c>
      <c r="W6">
        <v>392.58132689057902</v>
      </c>
      <c r="X6">
        <v>0.16680181976015401</v>
      </c>
      <c r="Y6">
        <v>396.58132689057902</v>
      </c>
      <c r="AA6" t="str">
        <f t="shared" ref="AA6:AA19" si="0">IF(AND(G6-P6&lt;-2, G6-Y6&lt;-2), "BM", IF(OR(P6-G6&lt;-2, Y6-G6&lt;-2), IF(AND(P6-G6&lt;-2, Y6-G6&gt;-2), "P ", IF(AND(P6-G6&lt;-2, Y6-G6&lt;-2), "P &amp; OU ", "OU ")), " "))</f>
        <v xml:space="preserve">P &amp; OU </v>
      </c>
      <c r="AC6">
        <f t="shared" ref="AC6:AC19" si="1">MIN(E6,M6,V6)</f>
        <v>0.18699988556895999</v>
      </c>
    </row>
    <row r="7" spans="1:29" x14ac:dyDescent="0.2">
      <c r="A7" t="s">
        <v>2</v>
      </c>
      <c r="B7" t="s">
        <v>25</v>
      </c>
      <c r="C7">
        <v>0.24856362223605499</v>
      </c>
      <c r="D7">
        <v>5.6377436681885398E-2</v>
      </c>
      <c r="E7">
        <v>1.04004896308233E-4</v>
      </c>
      <c r="F7">
        <v>381.25727420380503</v>
      </c>
      <c r="G7">
        <v>385.25727420380503</v>
      </c>
      <c r="I7" t="s">
        <v>2</v>
      </c>
      <c r="J7" t="s">
        <v>25</v>
      </c>
      <c r="K7">
        <v>0.21315789282910999</v>
      </c>
      <c r="L7">
        <v>6.46748383452527E-2</v>
      </c>
      <c r="M7">
        <v>2.35180383653195E-3</v>
      </c>
      <c r="N7">
        <v>376.42318244162198</v>
      </c>
      <c r="O7">
        <v>0.74436567578838797</v>
      </c>
      <c r="P7">
        <v>380.42318244162198</v>
      </c>
      <c r="R7" t="s">
        <v>2</v>
      </c>
      <c r="S7" t="s">
        <v>25</v>
      </c>
      <c r="T7">
        <v>0.24212078863287201</v>
      </c>
      <c r="U7">
        <v>5.9779966950037601E-2</v>
      </c>
      <c r="V7">
        <v>2.91705100582577E-4</v>
      </c>
      <c r="W7">
        <v>381.11614119171298</v>
      </c>
      <c r="X7">
        <v>0.10045272251079</v>
      </c>
      <c r="Y7">
        <v>385.11614119171298</v>
      </c>
      <c r="AA7" t="str">
        <f t="shared" si="0"/>
        <v xml:space="preserve">P </v>
      </c>
      <c r="AC7">
        <f t="shared" si="1"/>
        <v>1.04004896308233E-4</v>
      </c>
    </row>
    <row r="8" spans="1:29" x14ac:dyDescent="0.2">
      <c r="A8" t="s">
        <v>2</v>
      </c>
      <c r="B8" t="s">
        <v>23</v>
      </c>
      <c r="C8">
        <v>10.7990923285763</v>
      </c>
      <c r="D8">
        <v>5.2093946647382703</v>
      </c>
      <c r="E8">
        <v>4.6055416931904097E-2</v>
      </c>
      <c r="F8">
        <v>393.18249013532198</v>
      </c>
      <c r="G8">
        <v>397.18249013532198</v>
      </c>
      <c r="I8" t="s">
        <v>2</v>
      </c>
      <c r="J8" t="s">
        <v>23</v>
      </c>
      <c r="K8">
        <v>9.5488417087677693</v>
      </c>
      <c r="L8">
        <v>4.5664403993332501</v>
      </c>
      <c r="M8">
        <v>4.4298200076913603E-2</v>
      </c>
      <c r="N8">
        <v>381.42523986208101</v>
      </c>
      <c r="O8">
        <v>0.62626624646587004</v>
      </c>
      <c r="P8">
        <v>385.42523986208101</v>
      </c>
      <c r="R8" t="s">
        <v>2</v>
      </c>
      <c r="S8" t="s">
        <v>23</v>
      </c>
      <c r="T8">
        <v>11.2646343304962</v>
      </c>
      <c r="U8">
        <v>5.1652516764212999</v>
      </c>
      <c r="V8">
        <v>3.6425817399984101E-2</v>
      </c>
      <c r="W8">
        <v>389.744931287702</v>
      </c>
      <c r="X8">
        <v>0.173677525041501</v>
      </c>
      <c r="Y8">
        <v>393.744931287702</v>
      </c>
      <c r="AA8" t="str">
        <f t="shared" si="0"/>
        <v xml:space="preserve">P &amp; OU </v>
      </c>
      <c r="AC8">
        <f t="shared" si="1"/>
        <v>3.6425817399984101E-2</v>
      </c>
    </row>
    <row r="9" spans="1:29" x14ac:dyDescent="0.2">
      <c r="A9" t="s">
        <v>2</v>
      </c>
      <c r="B9" t="s">
        <v>216</v>
      </c>
      <c r="C9">
        <v>-1.5312492205168201E-2</v>
      </c>
      <c r="D9">
        <v>3.4163009017472497E-2</v>
      </c>
      <c r="E9">
        <v>0.65692462435372401</v>
      </c>
      <c r="F9">
        <v>397.25456877402797</v>
      </c>
      <c r="G9">
        <v>401.25456877402797</v>
      </c>
      <c r="I9" t="s">
        <v>2</v>
      </c>
      <c r="J9" t="s">
        <v>216</v>
      </c>
      <c r="K9">
        <v>-2.4671717189997E-2</v>
      </c>
      <c r="L9">
        <v>2.7309197011164001E-2</v>
      </c>
      <c r="M9">
        <v>0.37285001916002097</v>
      </c>
      <c r="N9">
        <v>384.93294468597497</v>
      </c>
      <c r="O9">
        <v>0.59942284794809897</v>
      </c>
      <c r="P9">
        <v>388.93294468597497</v>
      </c>
      <c r="R9" t="s">
        <v>2</v>
      </c>
      <c r="S9" t="s">
        <v>216</v>
      </c>
      <c r="T9">
        <v>-2.41988541669277E-2</v>
      </c>
      <c r="U9">
        <v>3.3406636252501697E-2</v>
      </c>
      <c r="V9">
        <v>0.47394169830050498</v>
      </c>
      <c r="W9">
        <v>393.90733623656803</v>
      </c>
      <c r="X9">
        <v>0.17454252408102899</v>
      </c>
      <c r="Y9">
        <v>397.90733623656803</v>
      </c>
      <c r="AA9" t="str">
        <f t="shared" si="0"/>
        <v xml:space="preserve">P &amp; OU </v>
      </c>
      <c r="AC9">
        <f t="shared" si="1"/>
        <v>0.37285001916002097</v>
      </c>
    </row>
    <row r="10" spans="1:29" x14ac:dyDescent="0.2">
      <c r="A10" t="s">
        <v>197</v>
      </c>
      <c r="B10" t="s">
        <v>24</v>
      </c>
      <c r="C10">
        <v>3.3497208352327799</v>
      </c>
      <c r="D10">
        <v>2.6759579774582098</v>
      </c>
      <c r="E10">
        <v>0.21944912632831901</v>
      </c>
      <c r="F10">
        <v>214.143086333018</v>
      </c>
      <c r="G10">
        <v>218.143086333018</v>
      </c>
      <c r="I10" t="s">
        <v>197</v>
      </c>
      <c r="J10" t="s">
        <v>24</v>
      </c>
      <c r="K10">
        <v>3.3497208352327799</v>
      </c>
      <c r="L10">
        <v>2.6759579774582098</v>
      </c>
      <c r="M10">
        <v>0.21944912632831901</v>
      </c>
      <c r="N10">
        <v>216.143086333018</v>
      </c>
      <c r="O10">
        <v>1</v>
      </c>
      <c r="P10">
        <v>220.143086333018</v>
      </c>
      <c r="R10" t="s">
        <v>197</v>
      </c>
      <c r="S10" t="s">
        <v>24</v>
      </c>
      <c r="T10">
        <v>3.3497214708322498</v>
      </c>
      <c r="U10">
        <v>2.6759581104117198</v>
      </c>
      <c r="V10">
        <v>0.21944906323288199</v>
      </c>
      <c r="W10">
        <v>216.14308770151001</v>
      </c>
      <c r="X10" s="23">
        <v>6.5780351421288407E-8</v>
      </c>
      <c r="Y10">
        <v>220.14308770151001</v>
      </c>
      <c r="AA10" t="str">
        <f t="shared" si="0"/>
        <v xml:space="preserve"> </v>
      </c>
      <c r="AC10">
        <f t="shared" si="1"/>
        <v>0.21944906323288199</v>
      </c>
    </row>
    <row r="11" spans="1:29" x14ac:dyDescent="0.2">
      <c r="A11" t="s">
        <v>197</v>
      </c>
      <c r="B11" t="s">
        <v>25</v>
      </c>
      <c r="C11">
        <v>-4.33846756727566E-3</v>
      </c>
      <c r="D11">
        <v>5.2470509806578497E-3</v>
      </c>
      <c r="E11">
        <v>0.41426706980620098</v>
      </c>
      <c r="F11">
        <v>215.04907688666</v>
      </c>
      <c r="G11">
        <v>219.04907688666</v>
      </c>
      <c r="I11" t="s">
        <v>197</v>
      </c>
      <c r="J11" t="s">
        <v>25</v>
      </c>
      <c r="K11">
        <v>-4.33846756727566E-3</v>
      </c>
      <c r="L11">
        <v>5.2470509806578497E-3</v>
      </c>
      <c r="M11">
        <v>0.41426706980620098</v>
      </c>
      <c r="N11">
        <v>217.04907688666</v>
      </c>
      <c r="O11">
        <v>1</v>
      </c>
      <c r="P11">
        <v>221.04907688666</v>
      </c>
      <c r="R11" t="s">
        <v>197</v>
      </c>
      <c r="S11" t="s">
        <v>25</v>
      </c>
      <c r="T11">
        <v>-4.3384676435346799E-3</v>
      </c>
      <c r="U11">
        <v>5.2470510382298897E-3</v>
      </c>
      <c r="V11">
        <v>0.41426706675435698</v>
      </c>
      <c r="W11">
        <v>217.049077102712</v>
      </c>
      <c r="X11" s="23">
        <v>8.7816312536659003E-9</v>
      </c>
      <c r="Y11">
        <v>221.049077102712</v>
      </c>
      <c r="AA11" t="str">
        <f t="shared" si="0"/>
        <v xml:space="preserve"> </v>
      </c>
      <c r="AC11">
        <f t="shared" si="1"/>
        <v>0.41426706675435698</v>
      </c>
    </row>
    <row r="12" spans="1:29" x14ac:dyDescent="0.2">
      <c r="A12" t="s">
        <v>197</v>
      </c>
      <c r="B12" t="s">
        <v>23</v>
      </c>
      <c r="C12">
        <v>0.25532849071104502</v>
      </c>
      <c r="D12">
        <v>0.410709780173237</v>
      </c>
      <c r="E12">
        <v>0.53842626269145999</v>
      </c>
      <c r="F12">
        <v>215.359242666054</v>
      </c>
      <c r="G12">
        <v>219.359242666054</v>
      </c>
      <c r="I12" t="s">
        <v>197</v>
      </c>
      <c r="J12" t="s">
        <v>23</v>
      </c>
      <c r="K12">
        <v>0.25532849071104502</v>
      </c>
      <c r="L12">
        <v>0.410709780173237</v>
      </c>
      <c r="M12">
        <v>0.53842626269145999</v>
      </c>
      <c r="N12">
        <v>217.359242666054</v>
      </c>
      <c r="O12">
        <v>1</v>
      </c>
      <c r="P12">
        <v>221.359242666054</v>
      </c>
      <c r="R12" t="s">
        <v>197</v>
      </c>
      <c r="S12" t="s">
        <v>23</v>
      </c>
      <c r="T12">
        <v>0.25532848267236002</v>
      </c>
      <c r="U12">
        <v>0.41070978392400898</v>
      </c>
      <c r="V12">
        <v>0.53842627909542995</v>
      </c>
      <c r="W12">
        <v>217.359242929488</v>
      </c>
      <c r="X12" s="23">
        <v>8.4991219064914501E-9</v>
      </c>
      <c r="Y12">
        <v>221.359242929488</v>
      </c>
      <c r="AA12" t="str">
        <f t="shared" si="0"/>
        <v xml:space="preserve"> </v>
      </c>
      <c r="AC12">
        <f t="shared" si="1"/>
        <v>0.53842626269145999</v>
      </c>
    </row>
    <row r="13" spans="1:29" x14ac:dyDescent="0.2">
      <c r="A13" t="s">
        <v>197</v>
      </c>
      <c r="B13" t="s">
        <v>216</v>
      </c>
      <c r="C13">
        <v>1.48882540882686E-3</v>
      </c>
      <c r="D13">
        <v>2.5428701316276702E-3</v>
      </c>
      <c r="E13">
        <v>0.56220105606793602</v>
      </c>
      <c r="F13">
        <v>215.40506633386599</v>
      </c>
      <c r="G13">
        <v>219.40506633386599</v>
      </c>
      <c r="I13" t="s">
        <v>197</v>
      </c>
      <c r="J13" t="s">
        <v>216</v>
      </c>
      <c r="K13">
        <v>1.48882540882686E-3</v>
      </c>
      <c r="L13">
        <v>2.5428701316276702E-3</v>
      </c>
      <c r="M13">
        <v>0.56220105606793602</v>
      </c>
      <c r="N13">
        <v>217.40506633386599</v>
      </c>
      <c r="O13">
        <v>1</v>
      </c>
      <c r="P13">
        <v>221.40506633386599</v>
      </c>
      <c r="R13" t="s">
        <v>197</v>
      </c>
      <c r="S13" t="s">
        <v>216</v>
      </c>
      <c r="T13">
        <v>1.48882548460255E-3</v>
      </c>
      <c r="U13">
        <v>2.5428701503882401E-3</v>
      </c>
      <c r="V13">
        <v>0.56220103914222996</v>
      </c>
      <c r="W13">
        <v>217.405066504779</v>
      </c>
      <c r="X13" s="23">
        <v>8.6360651275922004E-9</v>
      </c>
      <c r="Y13">
        <v>221.405066504779</v>
      </c>
      <c r="AA13" t="str">
        <f t="shared" si="0"/>
        <v xml:space="preserve"> </v>
      </c>
      <c r="AC13">
        <f t="shared" si="1"/>
        <v>0.56220103914222996</v>
      </c>
    </row>
    <row r="14" spans="1:29" x14ac:dyDescent="0.2">
      <c r="A14" t="s">
        <v>24</v>
      </c>
      <c r="B14" t="s">
        <v>25</v>
      </c>
      <c r="C14">
        <v>-7.5613610838117602E-4</v>
      </c>
      <c r="D14">
        <v>3.1017080753299899E-4</v>
      </c>
      <c r="E14">
        <v>2.0329059190128E-2</v>
      </c>
      <c r="F14">
        <v>17.068192945795399</v>
      </c>
      <c r="G14">
        <v>21.068192945795399</v>
      </c>
      <c r="I14" t="s">
        <v>24</v>
      </c>
      <c r="J14" t="s">
        <v>25</v>
      </c>
      <c r="K14">
        <v>-7.5613610838117602E-4</v>
      </c>
      <c r="L14">
        <v>3.1017080753299899E-4</v>
      </c>
      <c r="M14">
        <v>2.0329059190128E-2</v>
      </c>
      <c r="N14">
        <v>19.068192945795399</v>
      </c>
      <c r="O14">
        <v>1</v>
      </c>
      <c r="P14">
        <v>23.068192945795399</v>
      </c>
      <c r="R14" t="s">
        <v>24</v>
      </c>
      <c r="S14" t="s">
        <v>25</v>
      </c>
      <c r="T14">
        <v>-9.4043104882352198E-4</v>
      </c>
      <c r="U14">
        <v>3.6043981687047799E-4</v>
      </c>
      <c r="V14">
        <v>1.3537347240970299E-2</v>
      </c>
      <c r="W14">
        <v>15.135454685247201</v>
      </c>
      <c r="X14">
        <v>0.30990345918456902</v>
      </c>
      <c r="Y14">
        <v>19.135454685247201</v>
      </c>
      <c r="AA14" t="str">
        <f t="shared" si="0"/>
        <v xml:space="preserve"> </v>
      </c>
      <c r="AC14">
        <f t="shared" si="1"/>
        <v>1.3537347240970299E-2</v>
      </c>
    </row>
    <row r="15" spans="1:29" x14ac:dyDescent="0.2">
      <c r="A15" t="s">
        <v>24</v>
      </c>
      <c r="B15" t="s">
        <v>23</v>
      </c>
      <c r="C15">
        <v>-7.3682753398856896E-2</v>
      </c>
      <c r="D15">
        <v>2.29115050943943E-2</v>
      </c>
      <c r="E15">
        <v>2.9077470427454001E-3</v>
      </c>
      <c r="F15">
        <v>13.3219075974212</v>
      </c>
      <c r="G15">
        <v>17.321907597421198</v>
      </c>
      <c r="I15" t="s">
        <v>24</v>
      </c>
      <c r="J15" t="s">
        <v>23</v>
      </c>
      <c r="K15">
        <v>-0.109456346064549</v>
      </c>
      <c r="L15">
        <v>2.0894219225158901E-2</v>
      </c>
      <c r="M15" s="23">
        <v>9.1256576652352098E-6</v>
      </c>
      <c r="N15">
        <v>7.2502952038712296</v>
      </c>
      <c r="O15" s="23">
        <v>9.9999999999999903E-8</v>
      </c>
      <c r="P15">
        <v>11.2502952038712</v>
      </c>
      <c r="R15" t="s">
        <v>24</v>
      </c>
      <c r="S15" t="s">
        <v>23</v>
      </c>
      <c r="T15">
        <v>-0.10410445181205499</v>
      </c>
      <c r="U15">
        <v>2.0840063858429899E-2</v>
      </c>
      <c r="V15" s="23">
        <v>1.8698632043391101E-5</v>
      </c>
      <c r="W15">
        <v>5.1628842615732999</v>
      </c>
      <c r="X15">
        <v>0.86146273303823595</v>
      </c>
      <c r="Y15">
        <v>9.1628842615732999</v>
      </c>
      <c r="AA15" t="str">
        <f t="shared" si="0"/>
        <v xml:space="preserve">P &amp; OU </v>
      </c>
      <c r="AC15">
        <f t="shared" si="1"/>
        <v>9.1256576652352098E-6</v>
      </c>
    </row>
    <row r="16" spans="1:29" x14ac:dyDescent="0.2">
      <c r="A16" t="s">
        <v>24</v>
      </c>
      <c r="B16" t="s">
        <v>216</v>
      </c>
      <c r="C16">
        <v>7.42519472674862E-4</v>
      </c>
      <c r="D16" s="23">
        <v>9.8425455305455902E-5</v>
      </c>
      <c r="E16" s="23">
        <v>1.12017636604723E-8</v>
      </c>
      <c r="F16">
        <v>-12.217379935779199</v>
      </c>
      <c r="G16">
        <v>-8.2173799357791797</v>
      </c>
      <c r="I16" t="s">
        <v>24</v>
      </c>
      <c r="J16" t="s">
        <v>216</v>
      </c>
      <c r="K16">
        <v>8.2868734718909002E-4</v>
      </c>
      <c r="L16" s="23">
        <v>8.5801032845900398E-5</v>
      </c>
      <c r="M16" s="23">
        <v>3.8391855455438602E-11</v>
      </c>
      <c r="N16">
        <v>-18.538275840317102</v>
      </c>
      <c r="O16" s="23">
        <v>9.9999999999999903E-8</v>
      </c>
      <c r="P16">
        <v>-14.5382758403171</v>
      </c>
      <c r="R16" t="s">
        <v>24</v>
      </c>
      <c r="S16" t="s">
        <v>216</v>
      </c>
      <c r="T16">
        <v>8.2776703659252304E-4</v>
      </c>
      <c r="U16" s="23">
        <v>8.6119155489101405E-5</v>
      </c>
      <c r="V16" s="23">
        <v>4.3214046796204503E-11</v>
      </c>
      <c r="W16">
        <v>-18.5164611938626</v>
      </c>
      <c r="X16">
        <v>4.23336542499095</v>
      </c>
      <c r="Y16">
        <v>-14.5164611938626</v>
      </c>
      <c r="AA16" t="str">
        <f t="shared" si="0"/>
        <v xml:space="preserve">P &amp; OU </v>
      </c>
      <c r="AC16">
        <f t="shared" si="1"/>
        <v>3.8391855455438602E-11</v>
      </c>
    </row>
    <row r="17" spans="1:29" x14ac:dyDescent="0.2">
      <c r="A17" t="s">
        <v>25</v>
      </c>
      <c r="B17" t="s">
        <v>23</v>
      </c>
      <c r="C17">
        <v>36.612612381031703</v>
      </c>
      <c r="D17">
        <v>11.9751546789984</v>
      </c>
      <c r="E17">
        <v>4.4041951981117497E-3</v>
      </c>
      <c r="F17">
        <v>451.44841801040502</v>
      </c>
      <c r="G17">
        <v>455.44841801040502</v>
      </c>
      <c r="I17" t="s">
        <v>25</v>
      </c>
      <c r="J17" t="s">
        <v>23</v>
      </c>
      <c r="K17">
        <v>30.289886207042901</v>
      </c>
      <c r="L17">
        <v>8.4950425783077801</v>
      </c>
      <c r="M17">
        <v>1.1327451286235199E-3</v>
      </c>
      <c r="N17">
        <v>427.793881438673</v>
      </c>
      <c r="O17" s="23">
        <v>9.9999999999999903E-8</v>
      </c>
      <c r="P17">
        <v>431.793881438673</v>
      </c>
      <c r="R17" t="s">
        <v>25</v>
      </c>
      <c r="S17" t="s">
        <v>23</v>
      </c>
      <c r="T17">
        <v>30.329815758928401</v>
      </c>
      <c r="U17">
        <v>8.5234988296810705</v>
      </c>
      <c r="V17">
        <v>1.1554069826869499E-3</v>
      </c>
      <c r="W17">
        <v>427.98457349892197</v>
      </c>
      <c r="X17">
        <v>4.23336542499095</v>
      </c>
      <c r="Y17">
        <v>431.98457349892197</v>
      </c>
      <c r="AA17" t="str">
        <f t="shared" si="0"/>
        <v xml:space="preserve">P &amp; OU </v>
      </c>
      <c r="AC17">
        <f t="shared" si="1"/>
        <v>1.1327451286235199E-3</v>
      </c>
    </row>
    <row r="18" spans="1:29" x14ac:dyDescent="0.2">
      <c r="A18" t="s">
        <v>25</v>
      </c>
      <c r="B18" t="s">
        <v>216</v>
      </c>
      <c r="C18">
        <v>-3.5172713191544497E-2</v>
      </c>
      <c r="D18">
        <v>8.3711422359253898E-2</v>
      </c>
      <c r="E18">
        <v>0.677087330400717</v>
      </c>
      <c r="F18">
        <v>459.99080772433803</v>
      </c>
      <c r="G18">
        <v>463.99080772433803</v>
      </c>
      <c r="I18" t="s">
        <v>25</v>
      </c>
      <c r="J18" t="s">
        <v>216</v>
      </c>
      <c r="K18">
        <v>-9.1193036392294105E-2</v>
      </c>
      <c r="L18">
        <v>5.7183871050216599E-2</v>
      </c>
      <c r="M18">
        <v>0.120305883874038</v>
      </c>
      <c r="N18">
        <v>436.60145246913999</v>
      </c>
      <c r="O18" s="23">
        <v>9.9999999999999903E-8</v>
      </c>
      <c r="P18">
        <v>440.60145246913999</v>
      </c>
      <c r="R18" t="s">
        <v>25</v>
      </c>
      <c r="S18" t="s">
        <v>216</v>
      </c>
      <c r="T18">
        <v>-9.1068381122673805E-2</v>
      </c>
      <c r="U18">
        <v>5.7532592579010403E-2</v>
      </c>
      <c r="V18">
        <v>0.122982200160124</v>
      </c>
      <c r="W18">
        <v>436.78979072578198</v>
      </c>
      <c r="X18">
        <v>4.23336542499095</v>
      </c>
      <c r="Y18">
        <v>440.78979072578198</v>
      </c>
      <c r="AA18" t="str">
        <f t="shared" si="0"/>
        <v xml:space="preserve">P &amp; OU </v>
      </c>
      <c r="AC18">
        <f t="shared" si="1"/>
        <v>0.120305883874038</v>
      </c>
    </row>
    <row r="19" spans="1:29" x14ac:dyDescent="0.2">
      <c r="A19" t="s">
        <v>23</v>
      </c>
      <c r="B19" t="s">
        <v>216</v>
      </c>
      <c r="C19">
        <v>-2.6598147427642198E-3</v>
      </c>
      <c r="D19">
        <v>9.7248062241242505E-4</v>
      </c>
      <c r="E19">
        <v>9.9555611598788202E-3</v>
      </c>
      <c r="F19">
        <v>148.12116815578699</v>
      </c>
      <c r="G19">
        <v>152.12116815578699</v>
      </c>
      <c r="I19" t="s">
        <v>23</v>
      </c>
      <c r="J19" t="s">
        <v>216</v>
      </c>
      <c r="K19">
        <v>-3.8357105675887E-3</v>
      </c>
      <c r="L19">
        <v>7.8852701192608005E-4</v>
      </c>
      <c r="M19" s="23">
        <v>2.7491936123688202E-5</v>
      </c>
      <c r="N19">
        <v>136.73121748414999</v>
      </c>
      <c r="O19" s="23">
        <v>9.9999999999999903E-8</v>
      </c>
      <c r="P19">
        <v>140.73121748414999</v>
      </c>
      <c r="R19" t="s">
        <v>23</v>
      </c>
      <c r="S19" t="s">
        <v>216</v>
      </c>
      <c r="T19">
        <v>-3.8593703905967901E-3</v>
      </c>
      <c r="U19">
        <v>8.1184484065410301E-4</v>
      </c>
      <c r="V19" s="23">
        <v>3.8033104836974402E-5</v>
      </c>
      <c r="W19">
        <v>136.40806483327799</v>
      </c>
      <c r="X19">
        <v>1.29331120676091</v>
      </c>
      <c r="Y19">
        <v>140.40806483327799</v>
      </c>
      <c r="AA19" t="str">
        <f t="shared" si="0"/>
        <v xml:space="preserve">P &amp; OU </v>
      </c>
      <c r="AC19">
        <f t="shared" si="1"/>
        <v>2.7491936123688202E-5</v>
      </c>
    </row>
  </sheetData>
  <conditionalFormatting sqref="AC4:AC19">
    <cfRule type="cellIs" dxfId="2" priority="1" operator="lessThan">
      <formula>0.05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>
      <selection activeCell="A2" sqref="A2"/>
    </sheetView>
  </sheetViews>
  <sheetFormatPr baseColWidth="10" defaultRowHeight="16" x14ac:dyDescent="0.2"/>
  <sheetData>
    <row r="1" spans="1:5" x14ac:dyDescent="0.2">
      <c r="A1" s="12" t="s">
        <v>245</v>
      </c>
    </row>
    <row r="3" spans="1:5" x14ac:dyDescent="0.2">
      <c r="A3" t="s">
        <v>120</v>
      </c>
      <c r="B3" t="s">
        <v>121</v>
      </c>
      <c r="C3" t="s">
        <v>194</v>
      </c>
      <c r="D3" s="22"/>
      <c r="E3" t="s">
        <v>193</v>
      </c>
    </row>
    <row r="4" spans="1:5" x14ac:dyDescent="0.2">
      <c r="A4" s="24" t="s">
        <v>2</v>
      </c>
      <c r="B4" s="24" t="s">
        <v>197</v>
      </c>
      <c r="C4" s="24">
        <v>0.82233832034338095</v>
      </c>
      <c r="D4" s="24"/>
      <c r="E4" s="24">
        <v>0.82233831999999996</v>
      </c>
    </row>
    <row r="5" spans="1:5" x14ac:dyDescent="0.2">
      <c r="A5" t="s">
        <v>2</v>
      </c>
      <c r="B5" t="s">
        <v>24</v>
      </c>
      <c r="C5">
        <v>0.18699988556895999</v>
      </c>
      <c r="E5">
        <v>0.28049982899999998</v>
      </c>
    </row>
    <row r="6" spans="1:5" x14ac:dyDescent="0.2">
      <c r="A6" t="s">
        <v>2</v>
      </c>
      <c r="B6" t="s">
        <v>25</v>
      </c>
      <c r="C6">
        <v>1.04004896308233E-4</v>
      </c>
      <c r="E6">
        <v>2.6744142857142899E-4</v>
      </c>
    </row>
    <row r="7" spans="1:5" x14ac:dyDescent="0.2">
      <c r="A7" t="s">
        <v>2</v>
      </c>
      <c r="B7" t="s">
        <v>23</v>
      </c>
      <c r="C7">
        <v>3.6425817399984101E-2</v>
      </c>
      <c r="E7">
        <v>6.5566470599999996E-2</v>
      </c>
    </row>
    <row r="8" spans="1:5" x14ac:dyDescent="0.2">
      <c r="A8" t="s">
        <v>2</v>
      </c>
      <c r="B8" t="s">
        <v>216</v>
      </c>
      <c r="C8">
        <v>0.37285001916002097</v>
      </c>
      <c r="E8">
        <v>0.47937859585714299</v>
      </c>
    </row>
    <row r="9" spans="1:5" x14ac:dyDescent="0.2">
      <c r="A9" t="s">
        <v>197</v>
      </c>
      <c r="B9" t="s">
        <v>24</v>
      </c>
      <c r="C9">
        <v>0.21944906323288199</v>
      </c>
      <c r="E9">
        <v>0.30385254876923101</v>
      </c>
    </row>
    <row r="10" spans="1:5" x14ac:dyDescent="0.2">
      <c r="A10" t="s">
        <v>197</v>
      </c>
      <c r="B10" t="s">
        <v>25</v>
      </c>
      <c r="C10">
        <v>0.41426706675435698</v>
      </c>
      <c r="E10">
        <v>0.49712048040000001</v>
      </c>
    </row>
    <row r="11" spans="1:5" x14ac:dyDescent="0.2">
      <c r="A11" t="s">
        <v>197</v>
      </c>
      <c r="B11" t="s">
        <v>23</v>
      </c>
      <c r="C11">
        <v>0.53842626269145999</v>
      </c>
      <c r="E11">
        <v>0.59527168835294098</v>
      </c>
    </row>
    <row r="12" spans="1:5" x14ac:dyDescent="0.2">
      <c r="A12" t="s">
        <v>197</v>
      </c>
      <c r="B12" t="s">
        <v>216</v>
      </c>
      <c r="C12">
        <v>0.56220103914222996</v>
      </c>
      <c r="E12">
        <v>0.59527168835294098</v>
      </c>
    </row>
  </sheetData>
  <conditionalFormatting sqref="E4:E12">
    <cfRule type="cellIs" dxfId="1" priority="2" operator="lessThan">
      <formula>0.05</formula>
    </cfRule>
  </conditionalFormatting>
  <conditionalFormatting sqref="C4:C12">
    <cfRule type="cellIs" dxfId="0" priority="1" operator="lessThan">
      <formula>0.05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Contents</vt:lpstr>
      <vt:lpstr>Appendix S1</vt:lpstr>
      <vt:lpstr>Appendix S2</vt:lpstr>
      <vt:lpstr>Appendix S3</vt:lpstr>
      <vt:lpstr>Appendix S4</vt:lpstr>
      <vt:lpstr>Appendix S5</vt:lpstr>
      <vt:lpstr>Appendix S6</vt:lpstr>
      <vt:lpstr>Appendix S7</vt:lpstr>
      <vt:lpstr>Appendix S8</vt:lpstr>
      <vt:lpstr>Appendix 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</dc:creator>
  <cp:lastModifiedBy>Microsoft Office User</cp:lastModifiedBy>
  <cp:lastPrinted>2018-06-01T07:07:40Z</cp:lastPrinted>
  <dcterms:created xsi:type="dcterms:W3CDTF">2017-08-23T22:41:55Z</dcterms:created>
  <dcterms:modified xsi:type="dcterms:W3CDTF">2026-01-23T16:50:22Z</dcterms:modified>
</cp:coreProperties>
</file>