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github/pepperwood/data/other_studies/"/>
    </mc:Choice>
  </mc:AlternateContent>
  <xr:revisionPtr revIDLastSave="0" documentId="13_ncr:1_{8E075266-01A2-7344-8D63-597ACE0E47BD}" xr6:coauthVersionLast="47" xr6:coauthVersionMax="47" xr10:uidLastSave="{00000000-0000-0000-0000-000000000000}"/>
  <bookViews>
    <workbookView xWindow="460" yWindow="940" windowWidth="10660" windowHeight="16100" xr2:uid="{F7FC2EFE-0E84-EF4B-AA43-CB863F2174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  <c r="D50" i="1"/>
  <c r="D49" i="1"/>
  <c r="D48" i="1"/>
  <c r="D47" i="1"/>
  <c r="D46" i="1"/>
  <c r="D45" i="1"/>
  <c r="C50" i="1"/>
  <c r="C49" i="1"/>
  <c r="C48" i="1"/>
  <c r="C47" i="1"/>
  <c r="C46" i="1"/>
  <c r="C45" i="1"/>
  <c r="D44" i="1"/>
  <c r="D38" i="1"/>
  <c r="D37" i="1"/>
  <c r="D36" i="1"/>
  <c r="E36" i="1" s="1"/>
  <c r="D30" i="1"/>
  <c r="D29" i="1"/>
  <c r="D28" i="1"/>
  <c r="D22" i="1"/>
  <c r="D21" i="1"/>
  <c r="D20" i="1"/>
  <c r="D14" i="1"/>
  <c r="D13" i="1"/>
  <c r="D12" i="1"/>
  <c r="D6" i="1"/>
  <c r="D5" i="1"/>
  <c r="D4" i="1"/>
  <c r="C44" i="1"/>
  <c r="C43" i="1"/>
  <c r="D43" i="1" s="1"/>
  <c r="C42" i="1"/>
  <c r="D42" i="1" s="1"/>
  <c r="C41" i="1"/>
  <c r="D41" i="1" s="1"/>
  <c r="C40" i="1"/>
  <c r="D40" i="1" s="1"/>
  <c r="E40" i="1" s="1"/>
  <c r="C39" i="1"/>
  <c r="D39" i="1" s="1"/>
  <c r="C38" i="1"/>
  <c r="C37" i="1"/>
  <c r="C36" i="1"/>
  <c r="C35" i="1"/>
  <c r="D35" i="1" s="1"/>
  <c r="C34" i="1"/>
  <c r="D34" i="1" s="1"/>
  <c r="C33" i="1"/>
  <c r="D33" i="1" s="1"/>
  <c r="C32" i="1"/>
  <c r="D32" i="1" s="1"/>
  <c r="C31" i="1"/>
  <c r="D31" i="1" s="1"/>
  <c r="E30" i="1" s="1"/>
  <c r="C30" i="1"/>
  <c r="C29" i="1"/>
  <c r="C28" i="1"/>
  <c r="C27" i="1"/>
  <c r="D27" i="1" s="1"/>
  <c r="C26" i="1"/>
  <c r="D26" i="1" s="1"/>
  <c r="C25" i="1"/>
  <c r="D25" i="1" s="1"/>
  <c r="C24" i="1"/>
  <c r="D24" i="1" s="1"/>
  <c r="E24" i="1" s="1"/>
  <c r="C23" i="1"/>
  <c r="D23" i="1" s="1"/>
  <c r="C22" i="1"/>
  <c r="C21" i="1"/>
  <c r="C20" i="1"/>
  <c r="C19" i="1"/>
  <c r="D19" i="1" s="1"/>
  <c r="C18" i="1"/>
  <c r="D18" i="1" s="1"/>
  <c r="C17" i="1"/>
  <c r="D17" i="1" s="1"/>
  <c r="C16" i="1"/>
  <c r="D16" i="1" s="1"/>
  <c r="C15" i="1"/>
  <c r="D15" i="1" s="1"/>
  <c r="C14" i="1"/>
  <c r="C13" i="1"/>
  <c r="C12" i="1"/>
  <c r="C11" i="1"/>
  <c r="D11" i="1" s="1"/>
  <c r="C10" i="1"/>
  <c r="D10" i="1" s="1"/>
  <c r="C9" i="1"/>
  <c r="D9" i="1" s="1"/>
  <c r="C8" i="1"/>
  <c r="D8" i="1" s="1"/>
  <c r="C7" i="1"/>
  <c r="D7" i="1" s="1"/>
  <c r="C6" i="1"/>
  <c r="C5" i="1"/>
  <c r="C4" i="1"/>
  <c r="C3" i="1"/>
  <c r="D3" i="1" s="1"/>
  <c r="C2" i="1"/>
  <c r="D2" i="1" s="1"/>
  <c r="E16" i="1" l="1"/>
  <c r="E2" i="1"/>
  <c r="E11" i="1"/>
</calcChain>
</file>

<file path=xl/sharedStrings.xml><?xml version="1.0" encoding="utf-8"?>
<sst xmlns="http://schemas.openxmlformats.org/spreadsheetml/2006/main" count="54" uniqueCount="13">
  <si>
    <t>Ceanothus megacarpus</t>
  </si>
  <si>
    <t>Calocedrus decurrens</t>
  </si>
  <si>
    <t>Abies concolor</t>
  </si>
  <si>
    <t>Arctostaphylos patula</t>
  </si>
  <si>
    <t>Ceanothus cordulatus</t>
  </si>
  <si>
    <t>Pinus jeffreyii</t>
  </si>
  <si>
    <t>Quercus kelloggii</t>
  </si>
  <si>
    <t>species</t>
  </si>
  <si>
    <t>LMA (g/m2)</t>
  </si>
  <si>
    <t>SLA cm2/g</t>
  </si>
  <si>
    <t>SLA m2/g</t>
  </si>
  <si>
    <t>Means</t>
  </si>
  <si>
    <t>Adenostoma fasciculatum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</si>
</sst>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F8C15-C93E-874D-8C97-423E2478AC5C}">
  <dimension ref="A1:E50"/>
  <sheetViews>
    <sheetView tabSelected="1" topLeftCell="A36" workbookViewId="0">
      <selection activeCell="E45" sqref="E45"/>
    </sheetView>
  </sheetViews>
  <sheetFormatPr baseColWidth="10" defaultRowHeight="16" x14ac:dyDescent="0.2"/>
  <cols>
    <col min="1" max="2" width="12.83203125" customWidth="1"/>
    <col min="3" max="3" width="12.6640625" customWidth="1"/>
    <col min="4" max="4" width="15" customWidth="1"/>
  </cols>
  <sheetData>
    <row r="1" spans="1:5" x14ac:dyDescent="0.2">
      <c r="A1" t="s">
        <v>7</v>
      </c>
      <c r="B1" t="s">
        <v>8</v>
      </c>
      <c r="C1" t="s">
        <v>10</v>
      </c>
      <c r="D1" t="s">
        <v>9</v>
      </c>
      <c r="E1" t="s">
        <v>11</v>
      </c>
    </row>
    <row r="2" spans="1:5" x14ac:dyDescent="0.2">
      <c r="A2" s="1" t="s">
        <v>0</v>
      </c>
      <c r="B2" s="2">
        <v>296.48700000000002</v>
      </c>
      <c r="C2">
        <f>1/B2</f>
        <v>3.3728291628300731E-3</v>
      </c>
      <c r="D2">
        <f>C2*10000</f>
        <v>33.728291628300731</v>
      </c>
      <c r="E2">
        <f>AVERAGE(D2:D10)</f>
        <v>36.447618762705225</v>
      </c>
    </row>
    <row r="3" spans="1:5" x14ac:dyDescent="0.2">
      <c r="A3" s="1" t="s">
        <v>0</v>
      </c>
      <c r="B3" s="2">
        <v>311.875</v>
      </c>
      <c r="C3">
        <f t="shared" ref="C3:C50" si="0">1/B3</f>
        <v>3.2064128256513026E-3</v>
      </c>
      <c r="D3">
        <f t="shared" ref="D3:D50" si="1">C3*10000</f>
        <v>32.064128256513023</v>
      </c>
    </row>
    <row r="4" spans="1:5" x14ac:dyDescent="0.2">
      <c r="A4" s="1" t="s">
        <v>0</v>
      </c>
      <c r="B4" s="2">
        <v>161.69900000000001</v>
      </c>
      <c r="C4">
        <f t="shared" si="0"/>
        <v>6.1843301442804218E-3</v>
      </c>
      <c r="D4">
        <f t="shared" si="1"/>
        <v>61.843301442804218</v>
      </c>
    </row>
    <row r="5" spans="1:5" x14ac:dyDescent="0.2">
      <c r="A5" s="1" t="s">
        <v>0</v>
      </c>
      <c r="B5" s="2">
        <v>317.685</v>
      </c>
      <c r="C5">
        <f t="shared" si="0"/>
        <v>3.1477721642507515E-3</v>
      </c>
      <c r="D5">
        <f t="shared" si="1"/>
        <v>31.477721642507515</v>
      </c>
    </row>
    <row r="6" spans="1:5" x14ac:dyDescent="0.2">
      <c r="A6" s="1" t="s">
        <v>0</v>
      </c>
      <c r="B6" s="2">
        <v>327.976</v>
      </c>
      <c r="C6">
        <f t="shared" si="0"/>
        <v>3.0490035856282167E-3</v>
      </c>
      <c r="D6">
        <f t="shared" si="1"/>
        <v>30.490035856282166</v>
      </c>
    </row>
    <row r="7" spans="1:5" x14ac:dyDescent="0.2">
      <c r="A7" s="1" t="s">
        <v>0</v>
      </c>
      <c r="B7" s="2">
        <v>250.96700000000001</v>
      </c>
      <c r="C7">
        <f t="shared" si="0"/>
        <v>3.9845876151047748E-3</v>
      </c>
      <c r="D7">
        <f t="shared" si="1"/>
        <v>39.845876151047747</v>
      </c>
    </row>
    <row r="8" spans="1:5" x14ac:dyDescent="0.2">
      <c r="A8" s="1" t="s">
        <v>0</v>
      </c>
      <c r="B8" s="2">
        <v>324.017</v>
      </c>
      <c r="C8">
        <f t="shared" si="0"/>
        <v>3.0862578198057509E-3</v>
      </c>
      <c r="D8">
        <f t="shared" si="1"/>
        <v>30.862578198057509</v>
      </c>
    </row>
    <row r="9" spans="1:5" x14ac:dyDescent="0.2">
      <c r="A9" s="1" t="s">
        <v>0</v>
      </c>
      <c r="B9" s="2">
        <v>290.68299999999999</v>
      </c>
      <c r="C9">
        <f t="shared" si="0"/>
        <v>3.4401736599663554E-3</v>
      </c>
      <c r="D9">
        <f t="shared" si="1"/>
        <v>34.40173659966355</v>
      </c>
    </row>
    <row r="10" spans="1:5" x14ac:dyDescent="0.2">
      <c r="A10" s="1" t="s">
        <v>0</v>
      </c>
      <c r="B10" s="2">
        <v>300.166</v>
      </c>
      <c r="C10">
        <f t="shared" si="0"/>
        <v>3.3314899089170657E-3</v>
      </c>
      <c r="D10">
        <f t="shared" si="1"/>
        <v>33.314899089170659</v>
      </c>
    </row>
    <row r="11" spans="1:5" x14ac:dyDescent="0.2">
      <c r="A11" s="1" t="s">
        <v>1</v>
      </c>
      <c r="B11" s="2">
        <v>466.32440000000003</v>
      </c>
      <c r="C11">
        <f t="shared" si="0"/>
        <v>2.1444299290365246E-3</v>
      </c>
      <c r="D11">
        <f t="shared" si="1"/>
        <v>21.444299290365247</v>
      </c>
      <c r="E11">
        <f>AVERAGE(D11:D15)</f>
        <v>25.988308234092095</v>
      </c>
    </row>
    <row r="12" spans="1:5" x14ac:dyDescent="0.2">
      <c r="A12" s="1" t="s">
        <v>1</v>
      </c>
      <c r="B12" s="2">
        <v>405.46809999999999</v>
      </c>
      <c r="C12">
        <f t="shared" si="0"/>
        <v>2.4662852638715599E-3</v>
      </c>
      <c r="D12">
        <f t="shared" si="1"/>
        <v>24.662852638715599</v>
      </c>
    </row>
    <row r="13" spans="1:5" x14ac:dyDescent="0.2">
      <c r="A13" s="1" t="s">
        <v>1</v>
      </c>
      <c r="B13" s="1">
        <v>382.65539999999999</v>
      </c>
      <c r="C13">
        <f t="shared" si="0"/>
        <v>2.6133173607376247E-3</v>
      </c>
      <c r="D13">
        <f t="shared" si="1"/>
        <v>26.133173607376246</v>
      </c>
    </row>
    <row r="14" spans="1:5" x14ac:dyDescent="0.2">
      <c r="A14" s="1" t="s">
        <v>1</v>
      </c>
      <c r="B14" s="1">
        <v>334.82060000000001</v>
      </c>
      <c r="C14">
        <f t="shared" si="0"/>
        <v>2.9866740576894014E-3</v>
      </c>
      <c r="D14">
        <f t="shared" si="1"/>
        <v>29.866740576894014</v>
      </c>
    </row>
    <row r="15" spans="1:5" x14ac:dyDescent="0.2">
      <c r="A15" s="1" t="s">
        <v>1</v>
      </c>
      <c r="B15" s="1">
        <v>359.26670000000001</v>
      </c>
      <c r="C15">
        <f t="shared" si="0"/>
        <v>2.7834475057109385E-3</v>
      </c>
      <c r="D15">
        <f t="shared" si="1"/>
        <v>27.834475057109383</v>
      </c>
    </row>
    <row r="16" spans="1:5" x14ac:dyDescent="0.2">
      <c r="A16" s="1" t="s">
        <v>2</v>
      </c>
      <c r="B16" s="1">
        <v>325.91370000000001</v>
      </c>
      <c r="C16">
        <f t="shared" si="0"/>
        <v>3.0682969141831106E-3</v>
      </c>
      <c r="D16">
        <f t="shared" si="1"/>
        <v>30.682969141831105</v>
      </c>
      <c r="E16">
        <f>AVERAGE(D16:D23)</f>
        <v>37.689736879366841</v>
      </c>
    </row>
    <row r="17" spans="1:5" x14ac:dyDescent="0.2">
      <c r="A17" s="1" t="s">
        <v>2</v>
      </c>
      <c r="B17" s="1">
        <v>316.24770000000001</v>
      </c>
      <c r="C17">
        <f t="shared" si="0"/>
        <v>3.1620783329017097E-3</v>
      </c>
      <c r="D17">
        <f t="shared" si="1"/>
        <v>31.620783329017097</v>
      </c>
    </row>
    <row r="18" spans="1:5" x14ac:dyDescent="0.2">
      <c r="A18" s="1" t="s">
        <v>2</v>
      </c>
      <c r="B18" s="1">
        <v>255.80240000000001</v>
      </c>
      <c r="C18">
        <f t="shared" si="0"/>
        <v>3.9092674658251841E-3</v>
      </c>
      <c r="D18">
        <f t="shared" si="1"/>
        <v>39.092674658251838</v>
      </c>
    </row>
    <row r="19" spans="1:5" x14ac:dyDescent="0.2">
      <c r="A19" s="1" t="s">
        <v>2</v>
      </c>
      <c r="B19" s="1">
        <v>276.02409999999998</v>
      </c>
      <c r="C19">
        <f t="shared" si="0"/>
        <v>3.6228720608091833E-3</v>
      </c>
      <c r="D19">
        <f t="shared" si="1"/>
        <v>36.228720608091834</v>
      </c>
    </row>
    <row r="20" spans="1:5" x14ac:dyDescent="0.2">
      <c r="A20" s="1" t="s">
        <v>2</v>
      </c>
      <c r="B20" s="1">
        <v>276.91300000000001</v>
      </c>
      <c r="C20">
        <f t="shared" si="0"/>
        <v>3.6112425202139298E-3</v>
      </c>
      <c r="D20">
        <f t="shared" si="1"/>
        <v>36.112425202139299</v>
      </c>
    </row>
    <row r="21" spans="1:5" x14ac:dyDescent="0.2">
      <c r="A21" s="1" t="s">
        <v>2</v>
      </c>
      <c r="B21" s="1">
        <v>266.81869999999998</v>
      </c>
      <c r="C21">
        <f t="shared" si="0"/>
        <v>3.747863249464899E-3</v>
      </c>
      <c r="D21">
        <f t="shared" si="1"/>
        <v>37.478632494648991</v>
      </c>
    </row>
    <row r="22" spans="1:5" x14ac:dyDescent="0.2">
      <c r="A22" s="1" t="s">
        <v>2</v>
      </c>
      <c r="B22" s="1">
        <v>223.61</v>
      </c>
      <c r="C22">
        <f t="shared" si="0"/>
        <v>4.4720719109163269E-3</v>
      </c>
      <c r="D22">
        <f t="shared" si="1"/>
        <v>44.720719109163269</v>
      </c>
    </row>
    <row r="23" spans="1:5" x14ac:dyDescent="0.2">
      <c r="A23" s="1" t="s">
        <v>2</v>
      </c>
      <c r="B23" s="1">
        <v>219.38980000000001</v>
      </c>
      <c r="C23">
        <f t="shared" si="0"/>
        <v>4.5580970491791318E-3</v>
      </c>
      <c r="D23">
        <f t="shared" si="1"/>
        <v>45.580970491791319</v>
      </c>
    </row>
    <row r="24" spans="1:5" x14ac:dyDescent="0.2">
      <c r="A24" s="1" t="s">
        <v>3</v>
      </c>
      <c r="B24" s="1">
        <v>303.27357499999999</v>
      </c>
      <c r="C24">
        <f t="shared" si="0"/>
        <v>3.2973528933406084E-3</v>
      </c>
      <c r="D24">
        <f t="shared" si="1"/>
        <v>32.973528933406087</v>
      </c>
      <c r="E24">
        <f>AVERAGE(D24:D28)</f>
        <v>34.531704625936996</v>
      </c>
    </row>
    <row r="25" spans="1:5" x14ac:dyDescent="0.2">
      <c r="A25" s="1" t="s">
        <v>3</v>
      </c>
      <c r="B25" s="1">
        <v>277.26944700000001</v>
      </c>
      <c r="C25">
        <f t="shared" si="0"/>
        <v>3.606600044901449E-3</v>
      </c>
      <c r="D25">
        <f t="shared" si="1"/>
        <v>36.066000449014489</v>
      </c>
    </row>
    <row r="26" spans="1:5" x14ac:dyDescent="0.2">
      <c r="A26" s="1" t="s">
        <v>3</v>
      </c>
      <c r="B26" s="1">
        <v>342.80066699999998</v>
      </c>
      <c r="C26">
        <f t="shared" si="0"/>
        <v>2.9171471827970511E-3</v>
      </c>
      <c r="D26">
        <f t="shared" si="1"/>
        <v>29.17147182797051</v>
      </c>
    </row>
    <row r="27" spans="1:5" x14ac:dyDescent="0.2">
      <c r="A27" s="1" t="s">
        <v>3</v>
      </c>
      <c r="B27" s="1">
        <v>302.90535</v>
      </c>
      <c r="C27">
        <f t="shared" si="0"/>
        <v>3.3013612998251765E-3</v>
      </c>
      <c r="D27">
        <f t="shared" si="1"/>
        <v>33.013612998251766</v>
      </c>
    </row>
    <row r="28" spans="1:5" x14ac:dyDescent="0.2">
      <c r="A28" s="1" t="s">
        <v>3</v>
      </c>
      <c r="B28" s="1">
        <v>241.34821600000001</v>
      </c>
      <c r="C28">
        <f t="shared" si="0"/>
        <v>4.143390892104212E-3</v>
      </c>
      <c r="D28">
        <f t="shared" si="1"/>
        <v>41.433908921042118</v>
      </c>
    </row>
    <row r="29" spans="1:5" x14ac:dyDescent="0.2">
      <c r="A29" s="1" t="s">
        <v>3</v>
      </c>
      <c r="B29" s="1">
        <v>339.04358400000001</v>
      </c>
      <c r="C29">
        <f t="shared" si="0"/>
        <v>2.9494733042935268E-3</v>
      </c>
      <c r="D29">
        <f t="shared" si="1"/>
        <v>29.494733042935266</v>
      </c>
    </row>
    <row r="30" spans="1:5" x14ac:dyDescent="0.2">
      <c r="A30" s="1" t="s">
        <v>4</v>
      </c>
      <c r="B30" s="1">
        <v>292.893306</v>
      </c>
      <c r="C30">
        <f t="shared" si="0"/>
        <v>3.4142125460525207E-3</v>
      </c>
      <c r="D30">
        <f t="shared" si="1"/>
        <v>34.142125460525207</v>
      </c>
      <c r="E30">
        <f>AVERAGE(D30:D35)</f>
        <v>46.405132780307646</v>
      </c>
    </row>
    <row r="31" spans="1:5" x14ac:dyDescent="0.2">
      <c r="A31" s="1" t="s">
        <v>4</v>
      </c>
      <c r="B31" s="1">
        <v>149.14525399999999</v>
      </c>
      <c r="C31">
        <f t="shared" si="0"/>
        <v>6.7048730896928175E-3</v>
      </c>
      <c r="D31">
        <f t="shared" si="1"/>
        <v>67.048730896928177</v>
      </c>
    </row>
    <row r="32" spans="1:5" x14ac:dyDescent="0.2">
      <c r="A32" s="1" t="s">
        <v>4</v>
      </c>
      <c r="B32" s="1">
        <v>340.36127099999999</v>
      </c>
      <c r="C32">
        <f t="shared" si="0"/>
        <v>2.9380546061011743E-3</v>
      </c>
      <c r="D32">
        <f t="shared" si="1"/>
        <v>29.380546061011742</v>
      </c>
    </row>
    <row r="33" spans="1:5" x14ac:dyDescent="0.2">
      <c r="A33" s="1" t="s">
        <v>4</v>
      </c>
      <c r="B33" s="1">
        <v>216.384108</v>
      </c>
      <c r="C33">
        <f t="shared" si="0"/>
        <v>4.6214114762993591E-3</v>
      </c>
      <c r="D33">
        <f t="shared" si="1"/>
        <v>46.214114762993589</v>
      </c>
    </row>
    <row r="34" spans="1:5" x14ac:dyDescent="0.2">
      <c r="A34" s="1" t="s">
        <v>4</v>
      </c>
      <c r="B34" s="1">
        <v>174.47822199999999</v>
      </c>
      <c r="C34">
        <f t="shared" si="0"/>
        <v>5.7313743144402291E-3</v>
      </c>
      <c r="D34">
        <f t="shared" si="1"/>
        <v>57.313743144402288</v>
      </c>
    </row>
    <row r="35" spans="1:5" x14ac:dyDescent="0.2">
      <c r="A35" s="1" t="s">
        <v>4</v>
      </c>
      <c r="B35" s="1">
        <v>225.57305299999999</v>
      </c>
      <c r="C35">
        <f t="shared" si="0"/>
        <v>4.4331536355984866E-3</v>
      </c>
      <c r="D35">
        <f t="shared" si="1"/>
        <v>44.331536355984866</v>
      </c>
    </row>
    <row r="36" spans="1:5" x14ac:dyDescent="0.2">
      <c r="A36" s="1" t="s">
        <v>5</v>
      </c>
      <c r="B36" s="1">
        <v>439.56619699999999</v>
      </c>
      <c r="C36">
        <f t="shared" si="0"/>
        <v>2.2749702020421741E-3</v>
      </c>
      <c r="D36">
        <f t="shared" si="1"/>
        <v>22.74970202042174</v>
      </c>
      <c r="E36">
        <f>AVERAGE(D36:D39)</f>
        <v>22.754477948975556</v>
      </c>
    </row>
    <row r="37" spans="1:5" x14ac:dyDescent="0.2">
      <c r="A37" s="1" t="s">
        <v>5</v>
      </c>
      <c r="B37" s="1">
        <v>429.695335</v>
      </c>
      <c r="C37">
        <f t="shared" si="0"/>
        <v>2.3272302921324476E-3</v>
      </c>
      <c r="D37">
        <f t="shared" si="1"/>
        <v>23.272302921324474</v>
      </c>
    </row>
    <row r="38" spans="1:5" x14ac:dyDescent="0.2">
      <c r="A38" s="1" t="s">
        <v>5</v>
      </c>
      <c r="B38" s="1">
        <v>477.71603499999998</v>
      </c>
      <c r="C38">
        <f t="shared" si="0"/>
        <v>2.093293770220629E-3</v>
      </c>
      <c r="D38">
        <f t="shared" si="1"/>
        <v>20.932937702206289</v>
      </c>
    </row>
    <row r="39" spans="1:5" x14ac:dyDescent="0.2">
      <c r="A39" s="1" t="s">
        <v>5</v>
      </c>
      <c r="B39" s="1">
        <v>415.57631300000003</v>
      </c>
      <c r="C39">
        <f t="shared" si="0"/>
        <v>2.4062969151949715E-3</v>
      </c>
      <c r="D39">
        <f t="shared" si="1"/>
        <v>24.062969151949716</v>
      </c>
    </row>
    <row r="40" spans="1:5" x14ac:dyDescent="0.2">
      <c r="A40" s="1" t="s">
        <v>6</v>
      </c>
      <c r="B40" s="1">
        <v>96.814155799999995</v>
      </c>
      <c r="C40">
        <f t="shared" si="0"/>
        <v>1.0329068014245909E-2</v>
      </c>
      <c r="D40">
        <f t="shared" si="1"/>
        <v>103.29068014245908</v>
      </c>
      <c r="E40">
        <f>AVERAGE(D40:D44)</f>
        <v>94.234335803494531</v>
      </c>
    </row>
    <row r="41" spans="1:5" x14ac:dyDescent="0.2">
      <c r="A41" s="1" t="s">
        <v>6</v>
      </c>
      <c r="B41" s="1">
        <v>121.943721</v>
      </c>
      <c r="C41">
        <f t="shared" si="0"/>
        <v>8.2005042309640525E-3</v>
      </c>
      <c r="D41">
        <f t="shared" si="1"/>
        <v>82.00504230964053</v>
      </c>
    </row>
    <row r="42" spans="1:5" x14ac:dyDescent="0.2">
      <c r="A42" s="1" t="s">
        <v>6</v>
      </c>
      <c r="B42" s="1">
        <v>139.15693200000001</v>
      </c>
      <c r="C42">
        <f t="shared" si="0"/>
        <v>7.1861314102555805E-3</v>
      </c>
      <c r="D42">
        <f t="shared" si="1"/>
        <v>71.861314102555809</v>
      </c>
    </row>
    <row r="43" spans="1:5" x14ac:dyDescent="0.2">
      <c r="A43" s="1" t="s">
        <v>6</v>
      </c>
      <c r="B43" s="1">
        <v>98.321911</v>
      </c>
      <c r="C43">
        <f t="shared" si="0"/>
        <v>1.0170672943897521E-2</v>
      </c>
      <c r="D43">
        <f t="shared" si="1"/>
        <v>101.70672943897522</v>
      </c>
    </row>
    <row r="44" spans="1:5" x14ac:dyDescent="0.2">
      <c r="A44" s="1" t="s">
        <v>6</v>
      </c>
      <c r="B44" s="1">
        <v>89.040920900000003</v>
      </c>
      <c r="C44">
        <f t="shared" si="0"/>
        <v>1.1230791302384205E-2</v>
      </c>
      <c r="D44">
        <f t="shared" si="1"/>
        <v>112.30791302384205</v>
      </c>
    </row>
    <row r="45" spans="1:5" x14ac:dyDescent="0.2">
      <c r="A45" s="1" t="s">
        <v>12</v>
      </c>
      <c r="B45" s="1">
        <v>180</v>
      </c>
      <c r="C45">
        <f t="shared" si="0"/>
        <v>5.5555555555555558E-3</v>
      </c>
      <c r="D45">
        <f t="shared" si="1"/>
        <v>55.555555555555557</v>
      </c>
      <c r="E45">
        <f>AVERAGE(D45:D50)</f>
        <v>54.271479308096808</v>
      </c>
    </row>
    <row r="46" spans="1:5" x14ac:dyDescent="0.2">
      <c r="A46" s="1" t="s">
        <v>12</v>
      </c>
      <c r="B46" s="1">
        <v>172</v>
      </c>
      <c r="C46">
        <f t="shared" si="0"/>
        <v>5.8139534883720929E-3</v>
      </c>
      <c r="D46">
        <f t="shared" si="1"/>
        <v>58.139534883720927</v>
      </c>
    </row>
    <row r="47" spans="1:5" x14ac:dyDescent="0.2">
      <c r="A47" s="1" t="s">
        <v>12</v>
      </c>
      <c r="B47" s="1">
        <v>154.91999999999999</v>
      </c>
      <c r="C47">
        <f t="shared" si="0"/>
        <v>6.4549444874774081E-3</v>
      </c>
      <c r="D47">
        <f t="shared" si="1"/>
        <v>64.549444874774082</v>
      </c>
    </row>
    <row r="48" spans="1:5" x14ac:dyDescent="0.2">
      <c r="A48" s="1" t="s">
        <v>12</v>
      </c>
      <c r="B48" s="1">
        <v>186.34</v>
      </c>
      <c r="C48">
        <f t="shared" si="0"/>
        <v>5.3665342921541265E-3</v>
      </c>
      <c r="D48">
        <f t="shared" si="1"/>
        <v>53.665342921541267</v>
      </c>
    </row>
    <row r="49" spans="1:4" x14ac:dyDescent="0.2">
      <c r="A49" s="1" t="s">
        <v>12</v>
      </c>
      <c r="B49" s="1">
        <v>211.07</v>
      </c>
      <c r="C49">
        <f t="shared" si="0"/>
        <v>4.7377647226038754E-3</v>
      </c>
      <c r="D49">
        <f t="shared" si="1"/>
        <v>47.377647226038754</v>
      </c>
    </row>
    <row r="50" spans="1:4" x14ac:dyDescent="0.2">
      <c r="A50" s="1" t="s">
        <v>12</v>
      </c>
      <c r="B50" s="1">
        <v>215.79</v>
      </c>
      <c r="C50">
        <f t="shared" si="0"/>
        <v>4.6341350386950274E-3</v>
      </c>
      <c r="D50">
        <f t="shared" si="1"/>
        <v>46.341350386950275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2026-01-23T04:25:35Z</dcterms:created>
  <dcterms:modified xsi:type="dcterms:W3CDTF">2026-01-23T04:41:48Z</dcterms:modified>
</cp:coreProperties>
</file>